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Visualisasi Informasi\Random Forest Digital Twin\"/>
    </mc:Choice>
  </mc:AlternateContent>
  <xr:revisionPtr revIDLastSave="0" documentId="13_ncr:1_{57525D66-1EB4-4577-8C9D-8AD3FE13283D}" xr6:coauthVersionLast="47" xr6:coauthVersionMax="47" xr10:uidLastSave="{00000000-0000-0000-0000-000000000000}"/>
  <bookViews>
    <workbookView xWindow="-108" yWindow="-108" windowWidth="23256" windowHeight="12456" xr2:uid="{0EAB97F0-0957-4D9B-B7FD-20E7CE86B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 l="1"/>
  <c r="H28" i="1"/>
  <c r="J28" i="1"/>
  <c r="K28" i="1"/>
  <c r="L28" i="1"/>
  <c r="D28" i="1"/>
  <c r="K26" i="1"/>
  <c r="F26" i="1"/>
  <c r="H26" i="1"/>
  <c r="J26" i="1"/>
  <c r="L26" i="1"/>
  <c r="D2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<sst xmlns="http://schemas.openxmlformats.org/spreadsheetml/2006/main" count="109" uniqueCount="88">
  <si>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</si>
  <si>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</si>
  <si>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</si>
  <si>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</si>
  <si>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</si>
  <si>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</si>
  <si>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</si>
  <si>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</si>
  <si>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</si>
  <si>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</si>
  <si>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</si>
  <si>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</si>
  <si>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</si>
  <si>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</si>
  <si>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</si>
  <si>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</si>
  <si>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</si>
  <si>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</si>
  <si>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</si>
  <si>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</si>
  <si>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</si>
  <si>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</si>
  <si>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</si>
  <si>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</si>
  <si>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Nama_Titik</t>
  </si>
  <si>
    <t>Latitude</t>
  </si>
  <si>
    <t>Longitude</t>
  </si>
  <si>
    <t>N_mg_kg</t>
  </si>
  <si>
    <t>Status_N</t>
  </si>
  <si>
    <t>P_mg_kg</t>
  </si>
  <si>
    <t>Status_P</t>
  </si>
  <si>
    <t>K_mg_kg</t>
  </si>
  <si>
    <t>Status_K</t>
  </si>
  <si>
    <t>pH</t>
  </si>
  <si>
    <t>Kelembapan_Persen</t>
  </si>
  <si>
    <t>Suhu_Udara</t>
  </si>
  <si>
    <t>Jenis_Komoditas</t>
  </si>
  <si>
    <t>Caisim</t>
  </si>
  <si>
    <t>Jagung</t>
  </si>
  <si>
    <t>Singkong</t>
  </si>
  <si>
    <t>7°20'31.55"</t>
  </si>
  <si>
    <t>7°20'31.74"</t>
  </si>
  <si>
    <t>7°20'31.84"</t>
  </si>
  <si>
    <t>7°20'31.83"</t>
  </si>
  <si>
    <t>7°20'31.75"</t>
  </si>
  <si>
    <t>7°20'31.90"</t>
  </si>
  <si>
    <t>7°20'32.11"</t>
  </si>
  <si>
    <t>7°20'32.03"</t>
  </si>
  <si>
    <t>108°2'34.38"</t>
  </si>
  <si>
    <t>7°20'31.49"</t>
  </si>
  <si>
    <t>108°2'34.29"</t>
  </si>
  <si>
    <t>7°20'31.66"</t>
  </si>
  <si>
    <t>108°2'34.22"</t>
  </si>
  <si>
    <t>7°20'31.85"</t>
  </si>
  <si>
    <t>108°2'34.13"</t>
  </si>
  <si>
    <t>7°20'31.39"</t>
  </si>
  <si>
    <t>108°2'34.57"</t>
  </si>
  <si>
    <t>7°20'31.56"</t>
  </si>
  <si>
    <t>108°2'34.48"</t>
  </si>
  <si>
    <t>108°2'34.40"</t>
  </si>
  <si>
    <t>7°20'31.94"</t>
  </si>
  <si>
    <t>108°2'34.32"</t>
  </si>
  <si>
    <t>7°20'31.46"</t>
  </si>
  <si>
    <t>108°2'34.76"</t>
  </si>
  <si>
    <t>7°20'31.65"</t>
  </si>
  <si>
    <t>108°2'34.67"</t>
  </si>
  <si>
    <t>108°2'34.58"</t>
  </si>
  <si>
    <t>108°2'34.51"</t>
  </si>
  <si>
    <t>108°2'34.95"</t>
  </si>
  <si>
    <t>108°2'34.86"</t>
  </si>
  <si>
    <t>7°20'31.93"</t>
  </si>
  <si>
    <t>108°2'34.77"</t>
  </si>
  <si>
    <t>108°2'34.68"</t>
  </si>
  <si>
    <t>7°20'31.64"</t>
  </si>
  <si>
    <t>108°2'35.14"</t>
  </si>
  <si>
    <t>108°2'35.05"</t>
  </si>
  <si>
    <t>7°20'32.00"</t>
  </si>
  <si>
    <t>108°2'34.96"</t>
  </si>
  <si>
    <t>7°20'32.19"</t>
  </si>
  <si>
    <t>108°2'34.87"</t>
  </si>
  <si>
    <t>7°20'31.73"</t>
  </si>
  <si>
    <t>108°2'35.31"</t>
  </si>
  <si>
    <t>108°2'35.24"</t>
  </si>
  <si>
    <t>7°20'32.09"</t>
  </si>
  <si>
    <t>108°2'35.15"</t>
  </si>
  <si>
    <t>7°20'32.28"</t>
  </si>
  <si>
    <t>108°2'35.06"</t>
  </si>
  <si>
    <t>7°20'31.304"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</si>
</sst>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6E60-D6BA-42B9-BFF1-EDD723C44440}">
  <dimension ref="A1:M29"/>
  <sheetViews>
    <sheetView tabSelected="1" topLeftCell="A2" zoomScale="92" zoomScaleNormal="100" workbookViewId="0">
      <selection activeCell="L28" sqref="L28"/>
    </sheetView>
  </sheetViews>
  <sheetFormatPr defaultRowHeight="14.4" x14ac:dyDescent="0.3"/>
  <cols>
    <col min="1" max="1" width="15.33203125" customWidth="1"/>
    <col min="2" max="2" width="14" customWidth="1"/>
    <col min="3" max="3" width="15" customWidth="1"/>
    <col min="4" max="4" width="13.109375" bestFit="1" customWidth="1"/>
    <col min="5" max="5" width="9" bestFit="1" customWidth="1"/>
    <col min="6" max="6" width="8.5546875" bestFit="1" customWidth="1"/>
    <col min="7" max="7" width="8.77734375" bestFit="1" customWidth="1"/>
    <col min="8" max="8" width="8.33203125" bestFit="1" customWidth="1"/>
    <col min="9" max="9" width="8.77734375" bestFit="1" customWidth="1"/>
    <col min="10" max="10" width="8.33203125" bestFit="1" customWidth="1"/>
    <col min="11" max="11" width="20.6640625" customWidth="1"/>
    <col min="12" max="12" width="18.44140625" bestFit="1" customWidth="1"/>
    <col min="13" max="13" width="11.44140625" bestFit="1" customWidth="1"/>
    <col min="14" max="14" width="15.109375" bestFit="1" customWidth="1"/>
  </cols>
  <sheetData>
    <row r="1" spans="1:13" x14ac:dyDescent="0.3">
      <c r="A1" s="2" t="s">
        <v>24</v>
      </c>
      <c r="B1" s="3" t="s">
        <v>25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</row>
    <row r="2" spans="1:13" x14ac:dyDescent="0.3">
      <c r="A2" s="1" t="s">
        <v>0</v>
      </c>
      <c r="B2" s="5" t="s">
        <v>87</v>
      </c>
      <c r="C2" s="1" t="s">
        <v>48</v>
      </c>
      <c r="D2" s="4">
        <v>86.98</v>
      </c>
      <c r="E2" s="4" t="str">
        <f>_xlfn.IFS(D2&lt;40, "Rendah", D2&lt;=60, "Sedang", D2&gt;60, "Tinggi")</f>
        <v>Tinggi</v>
      </c>
      <c r="F2" s="4">
        <v>54.43</v>
      </c>
      <c r="G2" s="4" t="str">
        <f>_xlfn.IFS(F2&lt;40, "Rendah", F2&lt;=60, "Sedang", F2&gt;60, "Tinggi")</f>
        <v>Sedang</v>
      </c>
      <c r="H2" s="4">
        <v>79.39</v>
      </c>
      <c r="I2" s="4" t="str">
        <f>_xlfn.IFS(H2&lt;40, "Rendah", H2&lt;=60, "Sedang", H2&gt;60, "Tinggi")</f>
        <v>Tinggi</v>
      </c>
      <c r="J2" s="4">
        <v>6.9</v>
      </c>
      <c r="K2" s="4">
        <v>72.45</v>
      </c>
      <c r="L2" s="4">
        <v>23.1</v>
      </c>
      <c r="M2" s="4" t="s">
        <v>37</v>
      </c>
    </row>
    <row r="3" spans="1:13" x14ac:dyDescent="0.3">
      <c r="A3" s="1" t="s">
        <v>1</v>
      </c>
      <c r="B3" s="1" t="s">
        <v>49</v>
      </c>
      <c r="C3" s="1" t="s">
        <v>50</v>
      </c>
      <c r="D3" s="4">
        <v>82.33</v>
      </c>
      <c r="E3" s="4" t="str">
        <f t="shared" ref="E3:E25" si="0">_xlfn.IFS(D3&lt;40, "Rendah", D3&lt;=60, "Sedang", D3&gt;60, "Tinggi")</f>
        <v>Tinggi</v>
      </c>
      <c r="F3" s="4">
        <v>47.03</v>
      </c>
      <c r="G3" s="4" t="str">
        <f t="shared" ref="G3:G25" si="1">_xlfn.IFS(F3&lt;40, "Rendah", F3&lt;=60, "Sedang", F3&gt;60, "Tinggi")</f>
        <v>Sedang</v>
      </c>
      <c r="H3" s="4">
        <v>87.02</v>
      </c>
      <c r="I3" s="4" t="str">
        <f t="shared" ref="I3:I25" si="2">_xlfn.IFS(H3&lt;40, "Rendah", H3&lt;=60, "Sedang", H3&gt;60, "Tinggi")</f>
        <v>Tinggi</v>
      </c>
      <c r="J3" s="4">
        <v>6.7</v>
      </c>
      <c r="K3" s="4">
        <v>71.819999999999993</v>
      </c>
      <c r="L3" s="4">
        <v>22.9</v>
      </c>
      <c r="M3" s="4" t="s">
        <v>37</v>
      </c>
    </row>
    <row r="4" spans="1:13" x14ac:dyDescent="0.3">
      <c r="A4" s="1" t="s">
        <v>2</v>
      </c>
      <c r="B4" s="1" t="s">
        <v>51</v>
      </c>
      <c r="C4" s="1" t="s">
        <v>52</v>
      </c>
      <c r="D4" s="4">
        <v>73.260000000000005</v>
      </c>
      <c r="E4" s="4" t="str">
        <f t="shared" si="0"/>
        <v>Tinggi</v>
      </c>
      <c r="F4" s="4">
        <v>38.119999999999997</v>
      </c>
      <c r="G4" s="4" t="str">
        <f t="shared" si="1"/>
        <v>Rendah</v>
      </c>
      <c r="H4" s="4">
        <v>97.5</v>
      </c>
      <c r="I4" s="4" t="str">
        <f t="shared" si="2"/>
        <v>Tinggi</v>
      </c>
      <c r="J4" s="4">
        <v>6.4</v>
      </c>
      <c r="K4" s="4">
        <v>73.14</v>
      </c>
      <c r="L4" s="4">
        <v>23.4</v>
      </c>
      <c r="M4" s="4" t="s">
        <v>37</v>
      </c>
    </row>
    <row r="5" spans="1:13" x14ac:dyDescent="0.3">
      <c r="A5" s="1" t="s">
        <v>3</v>
      </c>
      <c r="B5" s="1" t="s">
        <v>53</v>
      </c>
      <c r="C5" s="1" t="s">
        <v>54</v>
      </c>
      <c r="D5" s="4">
        <v>91.24</v>
      </c>
      <c r="E5" s="4" t="str">
        <f t="shared" si="0"/>
        <v>Tinggi</v>
      </c>
      <c r="F5" s="4">
        <v>47.36</v>
      </c>
      <c r="G5" s="4" t="str">
        <f t="shared" si="1"/>
        <v>Sedang</v>
      </c>
      <c r="H5" s="4">
        <v>90.67</v>
      </c>
      <c r="I5" s="4" t="str">
        <f t="shared" si="2"/>
        <v>Tinggi</v>
      </c>
      <c r="J5" s="4">
        <v>6.3</v>
      </c>
      <c r="K5" s="4">
        <v>74.56</v>
      </c>
      <c r="L5" s="4">
        <v>22.4</v>
      </c>
      <c r="M5" s="4" t="s">
        <v>37</v>
      </c>
    </row>
    <row r="6" spans="1:13" x14ac:dyDescent="0.3">
      <c r="A6" s="1" t="s">
        <v>4</v>
      </c>
      <c r="B6" s="1" t="s">
        <v>55</v>
      </c>
      <c r="C6" s="1" t="s">
        <v>56</v>
      </c>
      <c r="D6" s="4">
        <v>86.52</v>
      </c>
      <c r="E6" s="4" t="str">
        <f t="shared" si="0"/>
        <v>Tinggi</v>
      </c>
      <c r="F6" s="4">
        <v>50.65</v>
      </c>
      <c r="G6" s="4" t="str">
        <f t="shared" si="1"/>
        <v>Sedang</v>
      </c>
      <c r="H6" s="4">
        <v>83.92</v>
      </c>
      <c r="I6" s="4" t="str">
        <f t="shared" si="2"/>
        <v>Tinggi</v>
      </c>
      <c r="J6" s="4">
        <v>6.4</v>
      </c>
      <c r="K6" s="4">
        <v>70.209999999999994</v>
      </c>
      <c r="L6" s="4">
        <v>22.2</v>
      </c>
      <c r="M6" s="4" t="s">
        <v>37</v>
      </c>
    </row>
    <row r="7" spans="1:13" x14ac:dyDescent="0.3">
      <c r="A7" s="1" t="s">
        <v>5</v>
      </c>
      <c r="B7" s="1" t="s">
        <v>57</v>
      </c>
      <c r="C7" s="1" t="s">
        <v>58</v>
      </c>
      <c r="D7" s="4">
        <v>93.77</v>
      </c>
      <c r="E7" s="4" t="str">
        <f t="shared" si="0"/>
        <v>Tinggi</v>
      </c>
      <c r="F7" s="4">
        <v>48.86</v>
      </c>
      <c r="G7" s="4" t="str">
        <f t="shared" si="1"/>
        <v>Sedang</v>
      </c>
      <c r="H7" s="4">
        <v>94.9</v>
      </c>
      <c r="I7" s="4" t="str">
        <f t="shared" si="2"/>
        <v>Tinggi</v>
      </c>
      <c r="J7" s="4">
        <v>6.5</v>
      </c>
      <c r="K7" s="4">
        <v>68.94</v>
      </c>
      <c r="L7" s="4">
        <v>23.1</v>
      </c>
      <c r="M7" s="4" t="s">
        <v>37</v>
      </c>
    </row>
    <row r="8" spans="1:13" x14ac:dyDescent="0.3">
      <c r="A8" s="1" t="s">
        <v>6</v>
      </c>
      <c r="B8" s="1" t="s">
        <v>44</v>
      </c>
      <c r="C8" s="1" t="s">
        <v>59</v>
      </c>
      <c r="D8" s="4">
        <v>81.5</v>
      </c>
      <c r="E8" s="4" t="str">
        <f t="shared" si="0"/>
        <v>Tinggi</v>
      </c>
      <c r="F8" s="4">
        <v>45.64</v>
      </c>
      <c r="G8" s="4" t="str">
        <f t="shared" si="1"/>
        <v>Sedang</v>
      </c>
      <c r="H8" s="4">
        <v>80.83</v>
      </c>
      <c r="I8" s="4" t="str">
        <f t="shared" si="2"/>
        <v>Tinggi</v>
      </c>
      <c r="J8" s="4">
        <v>7</v>
      </c>
      <c r="K8" s="4">
        <v>71.37</v>
      </c>
      <c r="L8" s="4">
        <v>22.1</v>
      </c>
      <c r="M8" s="4" t="s">
        <v>37</v>
      </c>
    </row>
    <row r="9" spans="1:13" x14ac:dyDescent="0.3">
      <c r="A9" s="1" t="s">
        <v>7</v>
      </c>
      <c r="B9" s="1" t="s">
        <v>60</v>
      </c>
      <c r="C9" s="1" t="s">
        <v>61</v>
      </c>
      <c r="D9" s="4">
        <v>94.24</v>
      </c>
      <c r="E9" s="4" t="str">
        <f t="shared" si="0"/>
        <v>Tinggi</v>
      </c>
      <c r="F9" s="4">
        <v>41.96</v>
      </c>
      <c r="G9" s="4" t="str">
        <f t="shared" si="1"/>
        <v>Sedang</v>
      </c>
      <c r="H9" s="4">
        <v>76.28</v>
      </c>
      <c r="I9" s="4" t="str">
        <f t="shared" si="2"/>
        <v>Tinggi</v>
      </c>
      <c r="J9" s="4">
        <v>6.2</v>
      </c>
      <c r="K9" s="4">
        <v>75.08</v>
      </c>
      <c r="L9" s="4">
        <v>22.7</v>
      </c>
      <c r="M9" s="4" t="s">
        <v>37</v>
      </c>
    </row>
    <row r="10" spans="1:13" x14ac:dyDescent="0.3">
      <c r="A10" s="1" t="s">
        <v>8</v>
      </c>
      <c r="B10" s="1" t="s">
        <v>62</v>
      </c>
      <c r="C10" s="1" t="s">
        <v>63</v>
      </c>
      <c r="D10" s="4">
        <v>80.88</v>
      </c>
      <c r="E10" s="4" t="str">
        <f t="shared" si="0"/>
        <v>Tinggi</v>
      </c>
      <c r="F10" s="4">
        <v>45.13</v>
      </c>
      <c r="G10" s="4" t="str">
        <f t="shared" si="1"/>
        <v>Sedang</v>
      </c>
      <c r="H10" s="4">
        <v>94.54</v>
      </c>
      <c r="I10" s="4" t="str">
        <f t="shared" si="2"/>
        <v>Tinggi</v>
      </c>
      <c r="J10" s="4">
        <v>6.4</v>
      </c>
      <c r="K10" s="4">
        <v>73.62</v>
      </c>
      <c r="L10" s="4">
        <v>23.7</v>
      </c>
      <c r="M10" s="4" t="s">
        <v>37</v>
      </c>
    </row>
    <row r="11" spans="1:13" x14ac:dyDescent="0.3">
      <c r="A11" s="1" t="s">
        <v>9</v>
      </c>
      <c r="B11" s="1" t="s">
        <v>64</v>
      </c>
      <c r="C11" s="1" t="s">
        <v>65</v>
      </c>
      <c r="D11" s="4">
        <v>77.430000000000007</v>
      </c>
      <c r="E11" s="4" t="str">
        <f t="shared" si="0"/>
        <v>Tinggi</v>
      </c>
      <c r="F11" s="4">
        <v>52.43</v>
      </c>
      <c r="G11" s="4" t="str">
        <f t="shared" si="1"/>
        <v>Sedang</v>
      </c>
      <c r="H11" s="4">
        <v>81.88</v>
      </c>
      <c r="I11" s="4" t="str">
        <f t="shared" si="2"/>
        <v>Tinggi</v>
      </c>
      <c r="J11" s="4">
        <v>6.5</v>
      </c>
      <c r="K11" s="4">
        <v>72.19</v>
      </c>
      <c r="L11" s="4">
        <v>23.9</v>
      </c>
      <c r="M11" s="4" t="s">
        <v>37</v>
      </c>
    </row>
    <row r="12" spans="1:13" x14ac:dyDescent="0.3">
      <c r="A12" s="1" t="s">
        <v>10</v>
      </c>
      <c r="B12" s="1" t="s">
        <v>42</v>
      </c>
      <c r="C12" s="1" t="s">
        <v>66</v>
      </c>
      <c r="D12" s="4">
        <v>93.16</v>
      </c>
      <c r="E12" s="4" t="str">
        <f t="shared" si="0"/>
        <v>Tinggi</v>
      </c>
      <c r="F12" s="4">
        <v>42.57</v>
      </c>
      <c r="G12" s="4" t="str">
        <f t="shared" si="1"/>
        <v>Sedang</v>
      </c>
      <c r="H12" s="4">
        <v>83.09</v>
      </c>
      <c r="I12" s="4" t="str">
        <f t="shared" si="2"/>
        <v>Tinggi</v>
      </c>
      <c r="J12" s="4">
        <v>6.1</v>
      </c>
      <c r="K12" s="4">
        <v>69.849999999999994</v>
      </c>
      <c r="L12" s="4">
        <v>23.4</v>
      </c>
      <c r="M12" s="4" t="s">
        <v>37</v>
      </c>
    </row>
    <row r="13" spans="1:13" x14ac:dyDescent="0.3">
      <c r="A13" s="1" t="s">
        <v>11</v>
      </c>
      <c r="B13" s="1" t="s">
        <v>47</v>
      </c>
      <c r="C13" s="1" t="s">
        <v>67</v>
      </c>
      <c r="D13" s="4">
        <v>68.7</v>
      </c>
      <c r="E13" s="4" t="str">
        <f t="shared" si="0"/>
        <v>Tinggi</v>
      </c>
      <c r="F13" s="4">
        <v>36.94</v>
      </c>
      <c r="G13" s="4" t="str">
        <f t="shared" si="1"/>
        <v>Rendah</v>
      </c>
      <c r="H13" s="4">
        <v>83.83</v>
      </c>
      <c r="I13" s="4" t="str">
        <f t="shared" si="2"/>
        <v>Tinggi</v>
      </c>
      <c r="J13" s="4">
        <v>6.2</v>
      </c>
      <c r="K13" s="4">
        <v>67.430000000000007</v>
      </c>
      <c r="L13" s="4">
        <v>23.2</v>
      </c>
      <c r="M13" s="4" t="s">
        <v>38</v>
      </c>
    </row>
    <row r="14" spans="1:13" x14ac:dyDescent="0.3">
      <c r="A14" s="1" t="s">
        <v>12</v>
      </c>
      <c r="B14" s="1" t="s">
        <v>40</v>
      </c>
      <c r="C14" s="1" t="s">
        <v>68</v>
      </c>
      <c r="D14" s="4">
        <v>48.4</v>
      </c>
      <c r="E14" s="4" t="str">
        <f t="shared" si="0"/>
        <v>Sedang</v>
      </c>
      <c r="F14" s="4">
        <v>36.07</v>
      </c>
      <c r="G14" s="4" t="str">
        <f t="shared" si="1"/>
        <v>Rendah</v>
      </c>
      <c r="H14" s="4">
        <v>80.349999999999994</v>
      </c>
      <c r="I14" s="4" t="str">
        <f t="shared" si="2"/>
        <v>Tinggi</v>
      </c>
      <c r="J14" s="4">
        <v>6</v>
      </c>
      <c r="K14" s="4">
        <v>76.22</v>
      </c>
      <c r="L14" s="4">
        <v>22.9</v>
      </c>
      <c r="M14" s="4" t="s">
        <v>38</v>
      </c>
    </row>
    <row r="15" spans="1:13" x14ac:dyDescent="0.3">
      <c r="A15" s="1" t="s">
        <v>13</v>
      </c>
      <c r="B15" s="1" t="s">
        <v>41</v>
      </c>
      <c r="C15" s="1" t="s">
        <v>69</v>
      </c>
      <c r="D15" s="4">
        <v>65.400000000000006</v>
      </c>
      <c r="E15" s="4" t="str">
        <f t="shared" si="0"/>
        <v>Tinggi</v>
      </c>
      <c r="F15" s="4">
        <v>41.98</v>
      </c>
      <c r="G15" s="4" t="str">
        <f t="shared" si="1"/>
        <v>Sedang</v>
      </c>
      <c r="H15" s="4">
        <v>55.36</v>
      </c>
      <c r="I15" s="4" t="str">
        <f t="shared" si="2"/>
        <v>Sedang</v>
      </c>
      <c r="J15" s="4">
        <v>6.3</v>
      </c>
      <c r="K15" s="4">
        <v>70.58</v>
      </c>
      <c r="L15" s="4">
        <v>22.5</v>
      </c>
      <c r="M15" s="4" t="s">
        <v>38</v>
      </c>
    </row>
    <row r="16" spans="1:13" x14ac:dyDescent="0.3">
      <c r="A16" s="1" t="s">
        <v>14</v>
      </c>
      <c r="B16" s="1" t="s">
        <v>70</v>
      </c>
      <c r="C16" s="1" t="s">
        <v>71</v>
      </c>
      <c r="D16" s="4">
        <v>60.35</v>
      </c>
      <c r="E16" s="4" t="str">
        <f t="shared" si="0"/>
        <v>Tinggi</v>
      </c>
      <c r="F16" s="4">
        <v>47.6</v>
      </c>
      <c r="G16" s="4" t="str">
        <f t="shared" si="1"/>
        <v>Sedang</v>
      </c>
      <c r="H16" s="4">
        <v>80.400000000000006</v>
      </c>
      <c r="I16" s="4" t="str">
        <f t="shared" si="2"/>
        <v>Tinggi</v>
      </c>
      <c r="J16" s="4">
        <v>7.5</v>
      </c>
      <c r="K16" s="4">
        <v>72.91</v>
      </c>
      <c r="L16" s="4">
        <v>22.9</v>
      </c>
      <c r="M16" s="4" t="s">
        <v>38</v>
      </c>
    </row>
    <row r="17" spans="1:13" x14ac:dyDescent="0.3">
      <c r="A17" s="1" t="s">
        <v>15</v>
      </c>
      <c r="B17" s="1" t="s">
        <v>46</v>
      </c>
      <c r="C17" s="1" t="s">
        <v>72</v>
      </c>
      <c r="D17" s="4">
        <v>64.55</v>
      </c>
      <c r="E17" s="4" t="str">
        <f t="shared" si="0"/>
        <v>Tinggi</v>
      </c>
      <c r="F17" s="4">
        <v>36.47</v>
      </c>
      <c r="G17" s="4" t="str">
        <f t="shared" si="1"/>
        <v>Rendah</v>
      </c>
      <c r="H17" s="4">
        <v>75.069999999999993</v>
      </c>
      <c r="I17" s="4" t="str">
        <f t="shared" si="2"/>
        <v>Tinggi</v>
      </c>
      <c r="J17" s="4">
        <v>7.4</v>
      </c>
      <c r="K17" s="4">
        <v>74.34</v>
      </c>
      <c r="L17" s="4">
        <v>22.6</v>
      </c>
      <c r="M17" s="4" t="s">
        <v>38</v>
      </c>
    </row>
    <row r="18" spans="1:13" x14ac:dyDescent="0.3">
      <c r="A18" s="1" t="s">
        <v>16</v>
      </c>
      <c r="B18" s="1" t="s">
        <v>73</v>
      </c>
      <c r="C18" s="1" t="s">
        <v>74</v>
      </c>
      <c r="D18" s="4">
        <v>50.59</v>
      </c>
      <c r="E18" s="4" t="str">
        <f t="shared" si="0"/>
        <v>Sedang</v>
      </c>
      <c r="F18" s="4">
        <v>46.84</v>
      </c>
      <c r="G18" s="4" t="str">
        <f t="shared" si="1"/>
        <v>Sedang</v>
      </c>
      <c r="H18" s="4">
        <v>59.65</v>
      </c>
      <c r="I18" s="4" t="str">
        <f t="shared" si="2"/>
        <v>Sedang</v>
      </c>
      <c r="J18" s="4">
        <v>6.9</v>
      </c>
      <c r="K18" s="4">
        <v>71.12</v>
      </c>
      <c r="L18" s="4">
        <v>23.6</v>
      </c>
      <c r="M18" s="4" t="s">
        <v>38</v>
      </c>
    </row>
    <row r="19" spans="1:13" x14ac:dyDescent="0.3">
      <c r="A19" s="1" t="s">
        <v>17</v>
      </c>
      <c r="B19" s="1" t="s">
        <v>43</v>
      </c>
      <c r="C19" s="1" t="s">
        <v>75</v>
      </c>
      <c r="D19" s="4">
        <v>47.67</v>
      </c>
      <c r="E19" s="4" t="str">
        <f t="shared" si="0"/>
        <v>Sedang</v>
      </c>
      <c r="F19" s="4">
        <v>39.93</v>
      </c>
      <c r="G19" s="4" t="str">
        <f t="shared" si="1"/>
        <v>Rendah</v>
      </c>
      <c r="H19" s="4">
        <v>61.4</v>
      </c>
      <c r="I19" s="4" t="str">
        <f t="shared" si="2"/>
        <v>Tinggi</v>
      </c>
      <c r="J19" s="4">
        <v>5.9</v>
      </c>
      <c r="K19" s="4">
        <v>69.569999999999993</v>
      </c>
      <c r="L19" s="4">
        <v>23.1</v>
      </c>
      <c r="M19" s="4" t="s">
        <v>38</v>
      </c>
    </row>
    <row r="20" spans="1:13" x14ac:dyDescent="0.3">
      <c r="A20" s="1" t="s">
        <v>18</v>
      </c>
      <c r="B20" s="1" t="s">
        <v>76</v>
      </c>
      <c r="C20" s="1" t="s">
        <v>77</v>
      </c>
      <c r="D20" s="4">
        <v>68.17</v>
      </c>
      <c r="E20" s="4" t="str">
        <f t="shared" si="0"/>
        <v>Tinggi</v>
      </c>
      <c r="F20" s="4">
        <v>41.6</v>
      </c>
      <c r="G20" s="4" t="str">
        <f t="shared" si="1"/>
        <v>Sedang</v>
      </c>
      <c r="H20" s="4">
        <v>81.97</v>
      </c>
      <c r="I20" s="4" t="str">
        <f t="shared" si="2"/>
        <v>Tinggi</v>
      </c>
      <c r="J20" s="4">
        <v>7.2</v>
      </c>
      <c r="K20" s="4">
        <v>73.88</v>
      </c>
      <c r="L20" s="4">
        <v>23.4</v>
      </c>
      <c r="M20" s="4" t="s">
        <v>39</v>
      </c>
    </row>
    <row r="21" spans="1:13" x14ac:dyDescent="0.3">
      <c r="A21" s="1" t="s">
        <v>19</v>
      </c>
      <c r="B21" s="1" t="s">
        <v>78</v>
      </c>
      <c r="C21" s="1" t="s">
        <v>79</v>
      </c>
      <c r="D21" s="4">
        <v>63.62</v>
      </c>
      <c r="E21" s="4" t="str">
        <f t="shared" si="0"/>
        <v>Tinggi</v>
      </c>
      <c r="F21" s="4">
        <v>31.88</v>
      </c>
      <c r="G21" s="4" t="str">
        <f t="shared" si="1"/>
        <v>Rendah</v>
      </c>
      <c r="H21" s="4">
        <v>78.989999999999995</v>
      </c>
      <c r="I21" s="4" t="str">
        <f t="shared" si="2"/>
        <v>Tinggi</v>
      </c>
      <c r="J21" s="4">
        <v>5.9</v>
      </c>
      <c r="K21" s="4">
        <v>75.400000000000006</v>
      </c>
      <c r="L21" s="4">
        <v>22.3</v>
      </c>
      <c r="M21" s="4" t="s">
        <v>39</v>
      </c>
    </row>
    <row r="22" spans="1:13" x14ac:dyDescent="0.3">
      <c r="A22" s="1" t="s">
        <v>20</v>
      </c>
      <c r="B22" s="1" t="s">
        <v>80</v>
      </c>
      <c r="C22" s="1" t="s">
        <v>81</v>
      </c>
      <c r="D22" s="4">
        <v>52.43</v>
      </c>
      <c r="E22" s="4" t="str">
        <f t="shared" si="0"/>
        <v>Sedang</v>
      </c>
      <c r="F22" s="4">
        <v>43.39</v>
      </c>
      <c r="G22" s="4" t="str">
        <f t="shared" si="1"/>
        <v>Sedang</v>
      </c>
      <c r="H22" s="4">
        <v>74.72</v>
      </c>
      <c r="I22" s="4" t="str">
        <f t="shared" si="2"/>
        <v>Tinggi</v>
      </c>
      <c r="J22" s="4">
        <v>6.7</v>
      </c>
      <c r="K22" s="4">
        <v>72.650000000000006</v>
      </c>
      <c r="L22" s="4">
        <v>23.9</v>
      </c>
      <c r="M22" s="4" t="s">
        <v>39</v>
      </c>
    </row>
    <row r="23" spans="1:13" x14ac:dyDescent="0.3">
      <c r="A23" s="1" t="s">
        <v>21</v>
      </c>
      <c r="B23" s="1" t="s">
        <v>45</v>
      </c>
      <c r="C23" s="1" t="s">
        <v>82</v>
      </c>
      <c r="D23" s="4">
        <v>57.22</v>
      </c>
      <c r="E23" s="4" t="str">
        <f t="shared" si="0"/>
        <v>Sedang</v>
      </c>
      <c r="F23" s="4">
        <v>33.4</v>
      </c>
      <c r="G23" s="4" t="str">
        <f t="shared" si="1"/>
        <v>Rendah</v>
      </c>
      <c r="H23" s="4">
        <v>65.33</v>
      </c>
      <c r="I23" s="4" t="str">
        <f t="shared" si="2"/>
        <v>Tinggi</v>
      </c>
      <c r="J23" s="4">
        <v>6.2</v>
      </c>
      <c r="K23" s="4">
        <v>70.290000000000006</v>
      </c>
      <c r="L23" s="4">
        <v>23.5</v>
      </c>
      <c r="M23" s="4" t="s">
        <v>39</v>
      </c>
    </row>
    <row r="24" spans="1:13" x14ac:dyDescent="0.3">
      <c r="A24" s="1" t="s">
        <v>22</v>
      </c>
      <c r="B24" s="1" t="s">
        <v>83</v>
      </c>
      <c r="C24" s="1" t="s">
        <v>84</v>
      </c>
      <c r="D24" s="4">
        <v>41.82</v>
      </c>
      <c r="E24" s="4" t="str">
        <f t="shared" si="0"/>
        <v>Sedang</v>
      </c>
      <c r="F24" s="4">
        <v>40.75</v>
      </c>
      <c r="G24" s="4" t="str">
        <f t="shared" si="1"/>
        <v>Sedang</v>
      </c>
      <c r="H24" s="4">
        <v>65.84</v>
      </c>
      <c r="I24" s="4" t="str">
        <f t="shared" si="2"/>
        <v>Tinggi</v>
      </c>
      <c r="J24" s="4">
        <v>6.3</v>
      </c>
      <c r="K24" s="4">
        <v>68.17</v>
      </c>
      <c r="L24" s="4">
        <v>22.9</v>
      </c>
      <c r="M24" s="4" t="s">
        <v>39</v>
      </c>
    </row>
    <row r="25" spans="1:13" x14ac:dyDescent="0.3">
      <c r="A25" s="1" t="s">
        <v>23</v>
      </c>
      <c r="B25" s="1" t="s">
        <v>85</v>
      </c>
      <c r="C25" s="1" t="s">
        <v>86</v>
      </c>
      <c r="D25" s="4">
        <v>37.340000000000003</v>
      </c>
      <c r="E25" s="4" t="str">
        <f t="shared" si="0"/>
        <v>Rendah</v>
      </c>
      <c r="F25" s="4">
        <v>33.729999999999997</v>
      </c>
      <c r="G25" s="4" t="str">
        <f t="shared" si="1"/>
        <v>Rendah</v>
      </c>
      <c r="H25" s="4">
        <v>67.67</v>
      </c>
      <c r="I25" s="4" t="str">
        <f t="shared" si="2"/>
        <v>Tinggi</v>
      </c>
      <c r="J25" s="4">
        <v>5.8</v>
      </c>
      <c r="K25" s="4">
        <v>71.739999999999995</v>
      </c>
      <c r="L25" s="4">
        <v>23.6</v>
      </c>
      <c r="M25" s="4" t="s">
        <v>39</v>
      </c>
    </row>
    <row r="26" spans="1:13" x14ac:dyDescent="0.3">
      <c r="D26" s="7">
        <f>AVERAGE(D2:D25)</f>
        <v>69.482083333333335</v>
      </c>
      <c r="E26" s="7"/>
      <c r="F26" s="7">
        <f t="shared" ref="E26:L26" si="3">AVERAGE(F2:F25)</f>
        <v>42.698333333333331</v>
      </c>
      <c r="G26" s="7"/>
      <c r="H26" s="7">
        <f t="shared" si="3"/>
        <v>78.358333333333334</v>
      </c>
      <c r="I26" s="7"/>
      <c r="J26" s="7">
        <f t="shared" si="3"/>
        <v>6.4875000000000007</v>
      </c>
      <c r="K26" s="7">
        <f>AVERAGE(K2:K25)</f>
        <v>71.98041666666667</v>
      </c>
      <c r="L26" s="7">
        <f t="shared" si="3"/>
        <v>23.054166666666671</v>
      </c>
      <c r="M26" s="6"/>
    </row>
    <row r="27" spans="1:13" x14ac:dyDescent="0.3"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3">
      <c r="D28" s="7">
        <f>_xlfn.STDEV.S(D2:D25)</f>
        <v>17.480273597293372</v>
      </c>
      <c r="E28" s="7"/>
      <c r="F28" s="7">
        <f t="shared" ref="E28:L28" si="4">_xlfn.STDEV.S(F2:F25)</f>
        <v>6.1317702009372121</v>
      </c>
      <c r="G28" s="7"/>
      <c r="H28" s="7">
        <f t="shared" si="4"/>
        <v>11.206478586908469</v>
      </c>
      <c r="I28" s="7"/>
      <c r="J28" s="7">
        <f t="shared" si="4"/>
        <v>0.46561086570318527</v>
      </c>
      <c r="K28" s="7">
        <f t="shared" si="4"/>
        <v>2.3283049986345579</v>
      </c>
      <c r="L28" s="7">
        <f t="shared" si="4"/>
        <v>0.52748720707064378</v>
      </c>
      <c r="M28" s="6"/>
    </row>
    <row r="29" spans="1:13" x14ac:dyDescent="0.3">
      <c r="D29" s="6"/>
      <c r="E29" s="6"/>
      <c r="F29" s="6"/>
      <c r="G29" s="6"/>
      <c r="H29" s="6"/>
      <c r="I29" s="6"/>
      <c r="J29" s="6"/>
      <c r="K29" s="6"/>
      <c r="L29" s="6"/>
      <c r="M29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Supyan Sauri</dc:creator>
  <cp:lastModifiedBy>Supyan Sauri</cp:lastModifiedBy>
  <dcterms:created xsi:type="dcterms:W3CDTF">2026-04-07T13:34:30Z</dcterms:created>
  <dcterms:modified xsi:type="dcterms:W3CDTF">2026-04-22T10:15:20Z</dcterms:modified>
</cp:coreProperties>
</file>