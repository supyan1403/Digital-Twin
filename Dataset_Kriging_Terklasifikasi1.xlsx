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uliah\Semester 6\Visualisasi Informasi\Bahan Persiapan Pertemuan\"/>
    </mc:Choice>
  </mc:AlternateContent>
  <xr:revisionPtr revIDLastSave="0" documentId="13_ncr:1_{C055CE08-2BFF-452D-A46C-81A92A615DD6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TabelAcuan Kriteria" sheetId="7" r:id="rId1"/>
    <sheet name="Terklasifikasi" sheetId="8" r:id="rId2"/>
    <sheet name="Dosis Presisi (Luas Petak 5x5m " sheetId="4" r:id="rId3"/>
    <sheet name="Referensi Harga Pupuk" sheetId="5" r:id="rId4"/>
    <sheet name="Perbandingan Ekonomi" sheetId="6" r:id="rId5"/>
  </sheets>
  <calcPr calcId="191029"/>
</workbook>
</file>

<file path=xl/calcChain.xml><?xml version="1.0" encoding="utf-8"?>
<calcChain xmlns="http://schemas.openxmlformats.org/spreadsheetml/2006/main">
  <c r="E3" i="8" l="1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D17" i="8"/>
  <c r="D18" i="8"/>
  <c r="D19" i="8"/>
  <c r="D20" i="8"/>
  <c r="D21" i="8"/>
  <c r="D22" i="8"/>
  <c r="D23" i="8"/>
  <c r="D24" i="8"/>
  <c r="D25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E2" i="8"/>
  <c r="D2" i="8"/>
</calcChain>
</file>

<file path=xl/sharedStrings.xml><?xml version="1.0" encoding="utf-8"?>
<sst xmlns="http://schemas.openxmlformats.org/spreadsheetml/2006/main" count="300" uniqueCount="188">
  <si>
    <t>Nama_Titik</t>
  </si>
  <si>
    <t>Latitude</t>
  </si>
  <si>
    <t>Longitude</t>
  </si>
  <si>
    <t>N_mg_kg</t>
  </si>
  <si>
    <t>Status_N</t>
  </si>
  <si>
    <t>P_mg_kg</t>
  </si>
  <si>
    <t>Status_P</t>
  </si>
  <si>
    <t>K_mg_kg</t>
  </si>
  <si>
    <t>Status_K</t>
  </si>
  <si>
    <t>pH</t>
  </si>
  <si>
    <t>Kelembapan_Persen</t>
  </si>
  <si>
    <t>Suhu_Udara</t>
  </si>
  <si>
    <t>Jenis_Komoditas</t>
  </si>
  <si>
    <t>T1</t>
  </si>
  <si>
    <t>Sedang</t>
  </si>
  <si>
    <t>Tinggi</t>
  </si>
  <si>
    <t>Caisim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</si>
  <si>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</si>
  <si>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</si>
  <si>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</si>
  <si>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</si>
  <si>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</si>
  <si>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</si>
  <si>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</si>
  <si>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</si>
  <si>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</si>
  <si>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</si>
  <si>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</si>
  <si>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Jagung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</si>
  <si>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</si>
  <si>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</si>
  <si>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</si>
  <si>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</si>
  <si>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</si>
  <si>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</si>
  <si>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</si>
  <si>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</si>
  <si>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</si>
  <si>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</si>
  <si>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</si>
  <si>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Singkong</t>
  </si>
  <si>
    <t>T24</t>
  </si>
  <si>
    <t>Rendah</t>
  </si>
  <si>
    <t>Kategori Parameter</t>
  </si>
  <si>
    <t>Parameter</t>
  </si>
  <si>
    <t>Satuan</t>
  </si>
  <si>
    <t>Sangat Rendah</t>
  </si>
  <si>
    <t>Sangat Tinggi</t>
  </si>
  <si>
    <t>Kimia (Nutrisi)</t>
  </si>
  <si>
    <t>Nitrogen (N)</t>
  </si>
  <si>
    <t>%</t>
  </si>
  <si>
    <t>&lt; 0,10</t>
  </si>
  <si>
    <t>0,10 – 0,20</t>
  </si>
  <si>
    <t>0,21 – 0,50</t>
  </si>
  <si>
    <t>0,51 – 0,75</t>
  </si>
  <si>
    <t>&gt; 0,75</t>
  </si>
  <si>
    <t>Fosfor (P) Bray</t>
  </si>
  <si>
    <t>ppm</t>
  </si>
  <si>
    <t>&lt; 10</t>
  </si>
  <si>
    <t>10 – 15</t>
  </si>
  <si>
    <t>16 – 25</t>
  </si>
  <si>
    <t>26 – 35</t>
  </si>
  <si>
    <t>&gt; 35</t>
  </si>
  <si>
    <t>Kalium (K)</t>
  </si>
  <si>
    <t>cmol/kg</t>
  </si>
  <si>
    <t>&lt; 0,1</t>
  </si>
  <si>
    <t>0,1 – 0,3</t>
  </si>
  <si>
    <t>0,4 – 0,5</t>
  </si>
  <si>
    <t>0,6 – 1,0</t>
  </si>
  <si>
    <t>&gt; 1,0</t>
  </si>
  <si>
    <t>Kimia (Reaksi)</t>
  </si>
  <si>
    <t>pH (H2​O)</t>
  </si>
  <si>
    <t>-</t>
  </si>
  <si>
    <t>&lt; 4,5</t>
  </si>
  <si>
    <t>4,5 – 5,5</t>
  </si>
  <si>
    <t>5,6 – 6,5</t>
  </si>
  <si>
    <t>6,6 – 7,5</t>
  </si>
  <si>
    <t>&gt; 7,5</t>
  </si>
  <si>
    <t>mg/kg</t>
  </si>
  <si>
    <t>&lt;40</t>
  </si>
  <si>
    <t>40−60</t>
  </si>
  <si>
    <t>&gt;60</t>
  </si>
  <si>
    <t>Fosfor (P)</t>
  </si>
  <si>
    <t>40 – 60</t>
  </si>
  <si>
    <t>pH Tanah</t>
  </si>
  <si>
    <t>&lt;5.5 (Asam)</t>
  </si>
  <si>
    <t>5.5−7.5 (Netral)</t>
  </si>
  <si>
    <t>&gt;7.5 (Basa)</t>
  </si>
  <si>
    <t>Suhu Udara</t>
  </si>
  <si>
    <t>°C</t>
  </si>
  <si>
    <t>&lt;18</t>
  </si>
  <si>
    <t>18−28</t>
  </si>
  <si>
    <t>&gt;28</t>
  </si>
  <si>
    <t>Jenis Pupuk</t>
  </si>
  <si>
    <t>Kondisi (Trigger)</t>
  </si>
  <si>
    <t>Dosis per Hektar (kg/ha)</t>
  </si>
  <si>
    <t>Faktor Pengali (25m2)</t>
  </si>
  <si>
    <t>Dosis per Petak (kg)</t>
  </si>
  <si>
    <t>Dosis per Petak (gram)</t>
  </si>
  <si>
    <t>Estimasi Biaya (Rp)</t>
  </si>
  <si>
    <t>Dolomit</t>
  </si>
  <si>
    <t>pH &lt; 6.0</t>
  </si>
  <si>
    <t>0.0025</t>
  </si>
  <si>
    <t>3.75</t>
  </si>
  <si>
    <t>Urea</t>
  </si>
  <si>
    <t>N &lt; 40</t>
  </si>
  <si>
    <t>0.5</t>
  </si>
  <si>
    <t>SP-36</t>
  </si>
  <si>
    <t>P &lt; 25</t>
  </si>
  <si>
    <t>0.375</t>
  </si>
  <si>
    <t>KCl</t>
  </si>
  <si>
    <t>K &lt; 40</t>
  </si>
  <si>
    <t>0.25</t>
  </si>
  <si>
    <t>Harga per Kilogram (Rp/kg)</t>
  </si>
  <si>
    <t>Keterangan Standar</t>
  </si>
  <si>
    <t>Dolomit (Kapur)</t>
  </si>
  <si>
    <t>Digunakan jika pH Tanah &lt; 6.0</t>
  </si>
  <si>
    <t>Urea (Nitrogen)</t>
  </si>
  <si>
    <t>Digunakan jika Nitrogen &lt; 40 mg/kg</t>
  </si>
  <si>
    <t>SP-36 (Fosfor)</t>
  </si>
  <si>
    <t>Digunakan jika Fosfor &lt; 25 ppm</t>
  </si>
  <si>
    <t>KCl (Kalium)</t>
  </si>
  <si>
    <t>Digunakan jika Kalium &lt; 40 mg/kg</t>
  </si>
  <si>
    <t>Aspek</t>
  </si>
  <si>
    <t>Cara Tradisional (Tebak-tebakan)</t>
  </si>
  <si>
    <t>Metode</t>
  </si>
  <si>
    <t>Pupuk disebar rata di seluruh lahan (Blanket Fertilization).</t>
  </si>
  <si>
    <t>Pupuk hanya disebar di titik yang butuh saja (Variable Rate).</t>
  </si>
  <si>
    <t>Dosis</t>
  </si>
  <si>
    <t>Sering berlebihan (Over-fertilizing) atau kurang.</t>
  </si>
  <si>
    <t>Presisi per petak 5x5m (Dosis Tepat).</t>
  </si>
  <si>
    <t>Biaya</t>
  </si>
  <si>
    <t>Tinggi karena banyak pupuk terbuang di titik yang sudah subur.</t>
  </si>
  <si>
    <t>Optimal karena biaya hanya dikeluarkan untuk titik yang kritis.</t>
  </si>
  <si>
    <t>Keberlanjutan</t>
  </si>
  <si>
    <t>Tanah cepat rusak karena kelebihan kimia.</t>
  </si>
  <si>
    <t>Tanah terjaga karena hara diseimbangkan secara tepat.</t>
  </si>
  <si>
    <t>Sistem Digital Twin(VRA)</t>
  </si>
  <si>
    <t>7°20'31.30"</t>
  </si>
  <si>
    <t>108°2'34.38"</t>
  </si>
  <si>
    <t>7°20'31.49"</t>
  </si>
  <si>
    <t>108°2'34.29"</t>
  </si>
  <si>
    <t>7°20'31.66"</t>
  </si>
  <si>
    <t>108°2'34.22"</t>
  </si>
  <si>
    <t>7°20'31.85"</t>
  </si>
  <si>
    <t>108°2'34.13"</t>
  </si>
  <si>
    <t>7°20'31.39"</t>
  </si>
  <si>
    <t>108°2'34.57"</t>
  </si>
  <si>
    <t>7°20'31.56"</t>
  </si>
  <si>
    <t>108°2'34.48"</t>
  </si>
  <si>
    <t>7°20'31.75"</t>
  </si>
  <si>
    <t>108°2'34.40"</t>
  </si>
  <si>
    <t>7°20'31.94"</t>
  </si>
  <si>
    <t>108°2'34.32"</t>
  </si>
  <si>
    <t>7°20'31.46"</t>
  </si>
  <si>
    <t>108°2'34.76"</t>
  </si>
  <si>
    <t>7°20'31.65"</t>
  </si>
  <si>
    <t>108°2'34.67"</t>
  </si>
  <si>
    <t>7°20'31.84"</t>
  </si>
  <si>
    <t>108°2'34.58"</t>
  </si>
  <si>
    <t>7°20'32.03"</t>
  </si>
  <si>
    <t>108°2'34.51"</t>
  </si>
  <si>
    <t>7°20'31.55"</t>
  </si>
  <si>
    <t>108°2'34.95"</t>
  </si>
  <si>
    <t>7°20'31.74"</t>
  </si>
  <si>
    <t>108°2'34.86"</t>
  </si>
  <si>
    <t>7°20'31.93"</t>
  </si>
  <si>
    <t>108°2'34.77"</t>
  </si>
  <si>
    <t>7°20'32.11"</t>
  </si>
  <si>
    <t>108°2'34.68"</t>
  </si>
  <si>
    <t>7°20'31.64"</t>
  </si>
  <si>
    <t>108°2'35.14"</t>
  </si>
  <si>
    <t>7°20'31.83"</t>
  </si>
  <si>
    <t>108°2'35.05"</t>
  </si>
  <si>
    <t>7°20'32.00"</t>
  </si>
  <si>
    <t>108°2'34.96"</t>
  </si>
  <si>
    <t>7°20'32.19"</t>
  </si>
  <si>
    <t>108°2'34.87"</t>
  </si>
  <si>
    <t>7°20'31.73"</t>
  </si>
  <si>
    <t>108°2'35.31"</t>
  </si>
  <si>
    <t>7°20'31.90"</t>
  </si>
  <si>
    <t>108°2'35.24"</t>
  </si>
  <si>
    <t>7°20'32.09"</t>
  </si>
  <si>
    <t>108°2'35.15"</t>
  </si>
  <si>
    <t>7°20'32.28"</t>
  </si>
  <si>
    <t>108°2'35.06"</t>
  </si>
  <si>
    <t>Lat_Deismal</t>
  </si>
  <si>
    <t>Long_Desimal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</si>
</sst>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71" formatCode="0.0000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" fontId="1" fillId="0" borderId="1" xfId="0" applyNumberFormat="1" applyFon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0" fillId="0" borderId="1" xfId="0" applyBorder="1"/>
    <xf numFmtId="2" fontId="0" fillId="0" borderId="1" xfId="0" applyNumberFormat="1" applyBorder="1"/>
    <xf numFmtId="17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441483</xdr:colOff>
      <xdr:row>4</xdr:row>
      <xdr:rowOff>141192</xdr:rowOff>
    </xdr:from>
    <xdr:ext cx="1385123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9F6B949-788D-42E0-BBAE-5BEE93DB1664}"/>
                </a:ext>
              </a:extLst>
            </xdr:cNvPr>
            <xdr:cNvSpPr txBox="1"/>
          </xdr:nvSpPr>
          <xdr:spPr>
            <a:xfrm>
              <a:off x="8533923" y="689832"/>
              <a:ext cx="138512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type m:val="lin"/>
                        <m:ctrlPr>
                          <a:rPr lang="en-ID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𝑚𝑔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𝑘𝑔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=%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×10000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9F6B949-788D-42E0-BBAE-5BEE93DB1664}"/>
                </a:ext>
              </a:extLst>
            </xdr:cNvPr>
            <xdr:cNvSpPr txBox="1"/>
          </xdr:nvSpPr>
          <xdr:spPr>
            <a:xfrm>
              <a:off x="8533923" y="689832"/>
              <a:ext cx="1385123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𝑚𝑔</a:t>
              </a:r>
              <a:r>
                <a:rPr lang="en-ID" sz="1100" b="0" i="0">
                  <a:latin typeface="Cambria Math" panose="02040503050406030204" pitchFamily="18" charset="0"/>
                </a:rPr>
                <a:t>∕</a:t>
              </a:r>
              <a:r>
                <a:rPr lang="en-US" sz="1100" b="0" i="0">
                  <a:latin typeface="Cambria Math" panose="02040503050406030204" pitchFamily="18" charset="0"/>
                </a:rPr>
                <a:t>𝑘𝑔=%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×10000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12</xdr:col>
      <xdr:colOff>0</xdr:colOff>
      <xdr:row>7</xdr:row>
      <xdr:rowOff>0</xdr:rowOff>
    </xdr:from>
    <xdr:ext cx="1928092" cy="16536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50ED34D-EDF3-40C4-BF93-3E535E7BE597}"/>
                </a:ext>
              </a:extLst>
            </xdr:cNvPr>
            <xdr:cNvSpPr txBox="1"/>
          </xdr:nvSpPr>
          <xdr:spPr>
            <a:xfrm>
              <a:off x="8092440" y="1112520"/>
              <a:ext cx="1928092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f>
                      <m:fPr>
                        <m:type m:val="lin"/>
                        <m:ctrlPr>
                          <a:rPr lang="en-ID" sz="110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𝑚𝑔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𝑘𝑔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f>
                      <m:fPr>
                        <m:type m:val="lin"/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𝑐𝑚𝑜𝑙</m:t>
                        </m:r>
                      </m:num>
                      <m:den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𝑘𝑔</m:t>
                        </m:r>
                      </m:den>
                    </m:f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×39 ×10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350ED34D-EDF3-40C4-BF93-3E535E7BE597}"/>
                </a:ext>
              </a:extLst>
            </xdr:cNvPr>
            <xdr:cNvSpPr txBox="1"/>
          </xdr:nvSpPr>
          <xdr:spPr>
            <a:xfrm>
              <a:off x="8092440" y="1112520"/>
              <a:ext cx="1928092" cy="16536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en-US" sz="1100" b="0" i="0">
                  <a:latin typeface="Cambria Math" panose="02040503050406030204" pitchFamily="18" charset="0"/>
                </a:rPr>
                <a:t>𝑚𝑔</a:t>
              </a:r>
              <a:r>
                <a:rPr lang="en-ID" sz="1100" b="0" i="0">
                  <a:latin typeface="Cambria Math" panose="02040503050406030204" pitchFamily="18" charset="0"/>
                </a:rPr>
                <a:t>∕</a:t>
              </a:r>
              <a:r>
                <a:rPr lang="en-US" sz="1100" b="0" i="0">
                  <a:latin typeface="Cambria Math" panose="02040503050406030204" pitchFamily="18" charset="0"/>
                </a:rPr>
                <a:t>𝑘𝑔=𝑐𝑚𝑜𝑙∕𝑘𝑔 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×39 ×10</a:t>
              </a:r>
              <a:endParaRPr lang="en-ID" sz="1100"/>
            </a:p>
          </xdr:txBody>
        </xdr:sp>
      </mc:Fallback>
    </mc:AlternateContent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137160</xdr:colOff>
      <xdr:row>13</xdr:row>
      <xdr:rowOff>11430</xdr:rowOff>
    </xdr:from>
    <xdr:ext cx="2212209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B976EF0-4600-8F1D-CD29-6AFAB293A319}"/>
                </a:ext>
              </a:extLst>
            </xdr:cNvPr>
            <xdr:cNvSpPr txBox="1"/>
          </xdr:nvSpPr>
          <xdr:spPr>
            <a:xfrm>
              <a:off x="1661160" y="2388870"/>
              <a:ext cx="221220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𝐿𝑢𝑎𝑠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1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𝑃𝑒𝑡𝑎𝑘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=5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𝑚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×5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𝑚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25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3B976EF0-4600-8F1D-CD29-6AFAB293A319}"/>
                </a:ext>
              </a:extLst>
            </xdr:cNvPr>
            <xdr:cNvSpPr txBox="1"/>
          </xdr:nvSpPr>
          <xdr:spPr>
            <a:xfrm>
              <a:off x="1661160" y="2388870"/>
              <a:ext cx="2212209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𝐿𝑢𝑎𝑠 1 𝑃𝑒𝑡𝑎𝑘=5 𝑚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×5 𝑚=〖25𝑚〗^2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2</xdr:col>
      <xdr:colOff>144780</xdr:colOff>
      <xdr:row>14</xdr:row>
      <xdr:rowOff>3810</xdr:rowOff>
    </xdr:from>
    <xdr:ext cx="1718804" cy="175369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BF75639-2191-B96F-90FD-26EDF76A9AE6}"/>
                </a:ext>
              </a:extLst>
            </xdr:cNvPr>
            <xdr:cNvSpPr txBox="1"/>
          </xdr:nvSpPr>
          <xdr:spPr>
            <a:xfrm>
              <a:off x="1668780" y="2564130"/>
              <a:ext cx="171880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𝐿𝑢𝑎𝑠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1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𝐻𝑒𝑘𝑡𝑎𝑟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sSup>
                      <m:sSupPr>
                        <m:ctrlPr>
                          <a:rPr lang="en-ID" sz="11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10.000</m:t>
                        </m:r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𝑚</m:t>
                        </m:r>
                      </m:e>
                      <m:sup>
                        <m:r>
                          <a:rPr lang="en-ID" sz="110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BF75639-2191-B96F-90FD-26EDF76A9AE6}"/>
                </a:ext>
              </a:extLst>
            </xdr:cNvPr>
            <xdr:cNvSpPr txBox="1"/>
          </xdr:nvSpPr>
          <xdr:spPr>
            <a:xfrm>
              <a:off x="1668780" y="2564130"/>
              <a:ext cx="1718804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𝐿𝑢𝑎𝑠 1 𝐻𝑒𝑘𝑡𝑎𝑟=</a:t>
              </a:r>
              <a:r>
                <a:rPr lang="en-ID" sz="1100" i="0">
                  <a:latin typeface="Cambria Math" panose="02040503050406030204" pitchFamily="18" charset="0"/>
                </a:rPr>
                <a:t>〖</a:t>
              </a:r>
              <a:r>
                <a:rPr lang="en-US" sz="1100" b="0" i="0">
                  <a:latin typeface="Cambria Math" panose="02040503050406030204" pitchFamily="18" charset="0"/>
                </a:rPr>
                <a:t>10.000𝑚</a:t>
              </a:r>
              <a:r>
                <a:rPr lang="en-ID" sz="1100" b="0" i="0">
                  <a:latin typeface="Cambria Math" panose="02040503050406030204" pitchFamily="18" charset="0"/>
                </a:rPr>
                <a:t>〗^</a:t>
              </a:r>
              <a:r>
                <a:rPr lang="en-ID" sz="1100" i="0">
                  <a:latin typeface="Cambria Math" panose="02040503050406030204" pitchFamily="18" charset="0"/>
                </a:rPr>
                <a:t>2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2</xdr:col>
      <xdr:colOff>129540</xdr:colOff>
      <xdr:row>15</xdr:row>
      <xdr:rowOff>3810</xdr:rowOff>
    </xdr:from>
    <xdr:ext cx="2565189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D7E337B-58E4-793E-CB22-7B53E1DC6514}"/>
                </a:ext>
              </a:extLst>
            </xdr:cNvPr>
            <xdr:cNvSpPr txBox="1"/>
          </xdr:nvSpPr>
          <xdr:spPr>
            <a:xfrm>
              <a:off x="1653540" y="2747010"/>
              <a:ext cx="256518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𝐹𝑎𝑘𝑡𝑜𝑟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𝑃𝑒𝑛𝑔𝑎𝑙𝑖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=25 ÷10.000=0,0025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8D7E337B-58E4-793E-CB22-7B53E1DC6514}"/>
                </a:ext>
              </a:extLst>
            </xdr:cNvPr>
            <xdr:cNvSpPr txBox="1"/>
          </xdr:nvSpPr>
          <xdr:spPr>
            <a:xfrm>
              <a:off x="1653540" y="2747010"/>
              <a:ext cx="2565189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𝐹𝑎𝑘𝑡𝑜𝑟 𝑃𝑒𝑛𝑔𝑎𝑙𝑖=25 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÷10.000=0,0025</a:t>
              </a:r>
              <a:endParaRPr lang="en-ID" sz="1100"/>
            </a:p>
          </xdr:txBody>
        </xdr:sp>
      </mc:Fallback>
    </mc:AlternateContent>
    <xdr:clientData/>
  </xdr:oneCellAnchor>
  <xdr:oneCellAnchor>
    <xdr:from>
      <xdr:col>5</xdr:col>
      <xdr:colOff>845820</xdr:colOff>
      <xdr:row>13</xdr:row>
      <xdr:rowOff>80010</xdr:rowOff>
    </xdr:from>
    <xdr:ext cx="3973395" cy="172227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B81F545-B3A5-8DD2-9585-375E7E3AE95B}"/>
                </a:ext>
              </a:extLst>
            </xdr:cNvPr>
            <xdr:cNvSpPr txBox="1"/>
          </xdr:nvSpPr>
          <xdr:spPr>
            <a:xfrm>
              <a:off x="6035040" y="2457450"/>
              <a:ext cx="397339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en-US" sz="1100" b="0" i="1">
                        <a:latin typeface="Cambria Math" panose="02040503050406030204" pitchFamily="18" charset="0"/>
                      </a:rPr>
                      <m:t>𝐸𝑠𝑡𝑖𝑚𝑎𝑠𝑖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𝐵𝑖𝑎𝑦𝑎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𝐷𝑜𝑠𝑖𝑠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𝑝𝑒𝑟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𝑃𝑒𝑡𝑎𝑘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 </m:t>
                    </m:r>
                    <m:d>
                      <m:d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d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𝑘𝑔</m:t>
                        </m:r>
                      </m:e>
                    </m:d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𝐻𝑎𝑟𝑔𝑎𝑃𝑢𝑝𝑢𝑘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𝑝𝑒𝑟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𝑘𝑔</m:t>
                    </m:r>
                    <m:r>
                      <a:rPr lang="en-US" sz="11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 </m:t>
                    </m:r>
                  </m:oMath>
                </m:oMathPara>
              </a14:m>
              <a:endParaRPr lang="en-ID" sz="1100"/>
            </a:p>
          </xdr:txBody>
        </xdr:sp>
      </mc:Choice>
      <mc:Fallback xmlns="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B81F545-B3A5-8DD2-9585-375E7E3AE95B}"/>
                </a:ext>
              </a:extLst>
            </xdr:cNvPr>
            <xdr:cNvSpPr txBox="1"/>
          </xdr:nvSpPr>
          <xdr:spPr>
            <a:xfrm>
              <a:off x="6035040" y="2457450"/>
              <a:ext cx="3973395" cy="17222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𝐸𝑠𝑡𝑖𝑚𝑎𝑠𝑖 𝐵𝑖𝑎𝑦𝑎=𝐷𝑜𝑠𝑖𝑠 𝑝𝑒𝑟 𝑃𝑒𝑡𝑎𝑘 (𝑘𝑔)</a:t>
              </a:r>
              <a:r>
                <a:rPr lang="en-US" sz="11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×𝐻𝑎𝑟𝑔𝑎𝑃𝑢𝑝𝑢𝑘 𝑝𝑒𝑟 𝑘𝑔 </a:t>
              </a:r>
              <a:endParaRPr lang="en-ID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0EABBC-167D-492F-AA2B-F63915963A8E}">
  <dimension ref="C4:J17"/>
  <sheetViews>
    <sheetView workbookViewId="0">
      <selection activeCell="Q4" sqref="Q4"/>
    </sheetView>
  </sheetViews>
  <sheetFormatPr defaultRowHeight="14.4" x14ac:dyDescent="0.3"/>
  <cols>
    <col min="3" max="3" width="16.109375" bestFit="1" customWidth="1"/>
    <col min="4" max="4" width="12.33203125" bestFit="1" customWidth="1"/>
    <col min="5" max="5" width="10.21875" bestFit="1" customWidth="1"/>
    <col min="6" max="6" width="13.21875" bestFit="1" customWidth="1"/>
    <col min="7" max="9" width="9.6640625" bestFit="1" customWidth="1"/>
    <col min="10" max="10" width="11.21875" bestFit="1" customWidth="1"/>
  </cols>
  <sheetData>
    <row r="4" spans="3:10" x14ac:dyDescent="0.3">
      <c r="C4" s="2" t="s">
        <v>43</v>
      </c>
      <c r="D4" s="2" t="s">
        <v>44</v>
      </c>
      <c r="E4" s="2" t="s">
        <v>45</v>
      </c>
      <c r="F4" s="2" t="s">
        <v>46</v>
      </c>
      <c r="G4" s="2" t="s">
        <v>42</v>
      </c>
      <c r="H4" s="2" t="s">
        <v>14</v>
      </c>
      <c r="I4" s="2" t="s">
        <v>15</v>
      </c>
      <c r="J4" s="2" t="s">
        <v>47</v>
      </c>
    </row>
    <row r="5" spans="3:10" x14ac:dyDescent="0.3">
      <c r="C5" s="3" t="s">
        <v>48</v>
      </c>
      <c r="D5" s="3" t="s">
        <v>49</v>
      </c>
      <c r="E5" s="3" t="s">
        <v>50</v>
      </c>
      <c r="F5" s="3" t="s">
        <v>51</v>
      </c>
      <c r="G5" s="3" t="s">
        <v>52</v>
      </c>
      <c r="H5" s="3" t="s">
        <v>53</v>
      </c>
      <c r="I5" s="3" t="s">
        <v>54</v>
      </c>
      <c r="J5" s="3" t="s">
        <v>55</v>
      </c>
    </row>
    <row r="6" spans="3:10" x14ac:dyDescent="0.3">
      <c r="C6" s="1"/>
      <c r="D6" s="3" t="s">
        <v>56</v>
      </c>
      <c r="E6" s="3" t="s">
        <v>57</v>
      </c>
      <c r="F6" s="3" t="s">
        <v>58</v>
      </c>
      <c r="G6" s="3" t="s">
        <v>59</v>
      </c>
      <c r="H6" s="3" t="s">
        <v>60</v>
      </c>
      <c r="I6" s="3" t="s">
        <v>61</v>
      </c>
      <c r="J6" s="3" t="s">
        <v>62</v>
      </c>
    </row>
    <row r="7" spans="3:10" x14ac:dyDescent="0.3">
      <c r="C7" s="1"/>
      <c r="D7" s="3" t="s">
        <v>63</v>
      </c>
      <c r="E7" s="3" t="s">
        <v>64</v>
      </c>
      <c r="F7" s="3" t="s">
        <v>65</v>
      </c>
      <c r="G7" s="3" t="s">
        <v>66</v>
      </c>
      <c r="H7" s="3" t="s">
        <v>67</v>
      </c>
      <c r="I7" s="3" t="s">
        <v>68</v>
      </c>
      <c r="J7" s="3" t="s">
        <v>69</v>
      </c>
    </row>
    <row r="8" spans="3:10" x14ac:dyDescent="0.3">
      <c r="C8" s="3" t="s">
        <v>70</v>
      </c>
      <c r="D8" s="3" t="s">
        <v>71</v>
      </c>
      <c r="E8" s="3" t="s">
        <v>72</v>
      </c>
      <c r="F8" s="3" t="s">
        <v>73</v>
      </c>
      <c r="G8" s="3" t="s">
        <v>74</v>
      </c>
      <c r="H8" s="3" t="s">
        <v>75</v>
      </c>
      <c r="I8" s="3" t="s">
        <v>76</v>
      </c>
      <c r="J8" s="3" t="s">
        <v>77</v>
      </c>
    </row>
    <row r="12" spans="3:10" x14ac:dyDescent="0.3">
      <c r="C12" s="3" t="s">
        <v>44</v>
      </c>
      <c r="D12" s="3" t="s">
        <v>45</v>
      </c>
      <c r="E12" s="3" t="s">
        <v>42</v>
      </c>
      <c r="F12" s="3" t="s">
        <v>14</v>
      </c>
      <c r="G12" s="3" t="s">
        <v>15</v>
      </c>
    </row>
    <row r="13" spans="3:10" x14ac:dyDescent="0.3">
      <c r="C13" s="3" t="s">
        <v>49</v>
      </c>
      <c r="D13" s="3" t="s">
        <v>78</v>
      </c>
      <c r="E13" s="3" t="s">
        <v>79</v>
      </c>
      <c r="F13" s="3" t="s">
        <v>80</v>
      </c>
      <c r="G13" s="3" t="s">
        <v>81</v>
      </c>
    </row>
    <row r="14" spans="3:10" x14ac:dyDescent="0.3">
      <c r="C14" s="3" t="s">
        <v>82</v>
      </c>
      <c r="D14" s="3" t="s">
        <v>78</v>
      </c>
      <c r="E14" s="3" t="s">
        <v>79</v>
      </c>
      <c r="F14" s="4" t="s">
        <v>83</v>
      </c>
      <c r="G14" s="3" t="s">
        <v>81</v>
      </c>
    </row>
    <row r="15" spans="3:10" x14ac:dyDescent="0.3">
      <c r="C15" s="3" t="s">
        <v>63</v>
      </c>
      <c r="D15" s="3" t="s">
        <v>78</v>
      </c>
      <c r="E15" s="3" t="s">
        <v>79</v>
      </c>
      <c r="F15" s="3" t="s">
        <v>80</v>
      </c>
      <c r="G15" s="3" t="s">
        <v>81</v>
      </c>
    </row>
    <row r="16" spans="3:10" x14ac:dyDescent="0.3">
      <c r="C16" s="3" t="s">
        <v>84</v>
      </c>
      <c r="D16" s="3" t="s">
        <v>72</v>
      </c>
      <c r="E16" s="3" t="s">
        <v>85</v>
      </c>
      <c r="F16" s="3" t="s">
        <v>86</v>
      </c>
      <c r="G16" s="3" t="s">
        <v>87</v>
      </c>
    </row>
    <row r="17" spans="3:7" x14ac:dyDescent="0.3">
      <c r="C17" s="3" t="s">
        <v>88</v>
      </c>
      <c r="D17" s="3" t="s">
        <v>89</v>
      </c>
      <c r="E17" s="3" t="s">
        <v>90</v>
      </c>
      <c r="F17" s="3" t="s">
        <v>91</v>
      </c>
      <c r="G17" s="3" t="s">
        <v>92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2ED37-EC2E-4303-A6AC-CEBE99B4461D}">
  <dimension ref="A1:O25"/>
  <sheetViews>
    <sheetView tabSelected="1" topLeftCell="A5" workbookViewId="0">
      <selection activeCell="Q7" sqref="Q7"/>
    </sheetView>
  </sheetViews>
  <sheetFormatPr defaultRowHeight="14.4" x14ac:dyDescent="0.3"/>
  <cols>
    <col min="2" max="2" width="12.77734375" customWidth="1"/>
    <col min="3" max="5" width="14.88671875" customWidth="1"/>
  </cols>
  <sheetData>
    <row r="1" spans="1:15" x14ac:dyDescent="0.3">
      <c r="A1" s="7" t="s">
        <v>0</v>
      </c>
      <c r="B1" s="8" t="s">
        <v>1</v>
      </c>
      <c r="C1" s="8" t="s">
        <v>2</v>
      </c>
      <c r="D1" s="8" t="s">
        <v>186</v>
      </c>
      <c r="E1" s="8" t="s">
        <v>187</v>
      </c>
      <c r="F1" s="7" t="s">
        <v>3</v>
      </c>
      <c r="G1" s="7" t="s">
        <v>4</v>
      </c>
      <c r="H1" s="7" t="s">
        <v>5</v>
      </c>
      <c r="I1" s="7" t="s">
        <v>6</v>
      </c>
      <c r="J1" s="7" t="s">
        <v>7</v>
      </c>
      <c r="K1" s="7" t="s">
        <v>8</v>
      </c>
      <c r="L1" s="7" t="s">
        <v>9</v>
      </c>
      <c r="M1" s="7" t="s">
        <v>10</v>
      </c>
      <c r="N1" s="7" t="s">
        <v>11</v>
      </c>
      <c r="O1" s="7" t="s">
        <v>12</v>
      </c>
    </row>
    <row r="2" spans="1:15" x14ac:dyDescent="0.3">
      <c r="A2" s="9" t="s">
        <v>13</v>
      </c>
      <c r="B2" s="10" t="s">
        <v>138</v>
      </c>
      <c r="C2" s="9" t="s">
        <v>139</v>
      </c>
      <c r="D2" s="11">
        <f>-1 * (LEFT(B2, FIND("°", B2)-1) + MID(B2, FIND("°", B2)+1, FIND("'", B2)-FIND("°", B2)-1)/60 + SUBSTITUTE(SUBSTITUTE(MID(B2, FIND("'", B2)+1, LEN(B2)), """", ""), ".", ",")/3600)</f>
        <v>-7.3420277777777772</v>
      </c>
      <c r="E2" s="11">
        <f>(LEFT(C2, FIND("°", C2)-1) + MID(C2, FIND("°", C2)+1, FIND("'", C2)-FIND("°", C2)-1)/60 + SUBSTITUTE(SUBSTITUTE(MID(C2, FIND("'", C2)+1, LEN(C2)), """", ""), ".", ",")/3600)</f>
        <v>108.04288333333334</v>
      </c>
      <c r="F2" s="1">
        <v>86.98</v>
      </c>
      <c r="G2" s="1" t="s">
        <v>14</v>
      </c>
      <c r="H2" s="1">
        <v>54.43</v>
      </c>
      <c r="I2" s="1" t="s">
        <v>15</v>
      </c>
      <c r="J2" s="1">
        <v>79.39</v>
      </c>
      <c r="K2" s="1" t="s">
        <v>15</v>
      </c>
      <c r="L2" s="1">
        <v>6.9</v>
      </c>
      <c r="M2" s="1">
        <v>74</v>
      </c>
      <c r="N2" s="1">
        <v>23.1</v>
      </c>
      <c r="O2" s="1" t="s">
        <v>16</v>
      </c>
    </row>
    <row r="3" spans="1:15" x14ac:dyDescent="0.3">
      <c r="A3" s="9" t="s">
        <v>17</v>
      </c>
      <c r="B3" s="9" t="s">
        <v>140</v>
      </c>
      <c r="C3" s="9" t="s">
        <v>141</v>
      </c>
      <c r="D3" s="11">
        <f t="shared" ref="D3:D25" si="0">-1 * (LEFT(B3, FIND("°", B3)-1) + MID(B3, FIND("°", B3)+1, FIND("'", B3)-FIND("°", B3)-1)/60 + SUBSTITUTE(SUBSTITUTE(MID(B3, FIND("'", B3)+1, LEN(B3)), """", ""), ".", ",")/3600)</f>
        <v>-7.3420805555555555</v>
      </c>
      <c r="E3" s="11">
        <f t="shared" ref="E3:E25" si="1">(LEFT(C3, FIND("°", C3)-1) + MID(C3, FIND("°", C3)+1, FIND("'", C3)-FIND("°", C3)-1)/60 + SUBSTITUTE(SUBSTITUTE(MID(C3, FIND("'", C3)+1, LEN(C3)), """", ""), ".", ",")/3600)</f>
        <v>108.04285833333333</v>
      </c>
      <c r="F3" s="1">
        <v>82.33</v>
      </c>
      <c r="G3" s="1" t="s">
        <v>14</v>
      </c>
      <c r="H3" s="1">
        <v>47.03</v>
      </c>
      <c r="I3" s="1" t="s">
        <v>15</v>
      </c>
      <c r="J3" s="1">
        <v>87.02</v>
      </c>
      <c r="K3" s="1" t="s">
        <v>15</v>
      </c>
      <c r="L3" s="1">
        <v>6.7</v>
      </c>
      <c r="M3" s="1">
        <v>71</v>
      </c>
      <c r="N3" s="1">
        <v>22.9</v>
      </c>
      <c r="O3" s="1" t="s">
        <v>16</v>
      </c>
    </row>
    <row r="4" spans="1:15" x14ac:dyDescent="0.3">
      <c r="A4" s="9" t="s">
        <v>18</v>
      </c>
      <c r="B4" s="9" t="s">
        <v>142</v>
      </c>
      <c r="C4" s="9" t="s">
        <v>143</v>
      </c>
      <c r="D4" s="11">
        <f t="shared" si="0"/>
        <v>-7.3421277777777778</v>
      </c>
      <c r="E4" s="11">
        <f t="shared" si="1"/>
        <v>108.04283888888888</v>
      </c>
      <c r="F4" s="1">
        <v>73.260000000000005</v>
      </c>
      <c r="G4" s="1" t="s">
        <v>14</v>
      </c>
      <c r="H4" s="1">
        <v>38.119999999999997</v>
      </c>
      <c r="I4" s="1" t="s">
        <v>14</v>
      </c>
      <c r="J4" s="1">
        <v>97.5</v>
      </c>
      <c r="K4" s="1" t="s">
        <v>15</v>
      </c>
      <c r="L4" s="1">
        <v>6.4</v>
      </c>
      <c r="M4" s="1">
        <v>73.2</v>
      </c>
      <c r="N4" s="1">
        <v>23.4</v>
      </c>
      <c r="O4" s="1" t="s">
        <v>16</v>
      </c>
    </row>
    <row r="5" spans="1:15" x14ac:dyDescent="0.3">
      <c r="A5" s="9" t="s">
        <v>19</v>
      </c>
      <c r="B5" s="9" t="s">
        <v>144</v>
      </c>
      <c r="C5" s="9" t="s">
        <v>145</v>
      </c>
      <c r="D5" s="11">
        <f t="shared" si="0"/>
        <v>-7.3421805555555553</v>
      </c>
      <c r="E5" s="11">
        <f t="shared" si="1"/>
        <v>108.04281388888889</v>
      </c>
      <c r="F5" s="1">
        <v>91.24</v>
      </c>
      <c r="G5" s="1" t="s">
        <v>14</v>
      </c>
      <c r="H5" s="1">
        <v>47.36</v>
      </c>
      <c r="I5" s="1" t="s">
        <v>15</v>
      </c>
      <c r="J5" s="1">
        <v>90.67</v>
      </c>
      <c r="K5" s="1" t="s">
        <v>15</v>
      </c>
      <c r="L5" s="1">
        <v>6.3</v>
      </c>
      <c r="M5" s="1">
        <v>75.900000000000006</v>
      </c>
      <c r="N5" s="1">
        <v>22.4</v>
      </c>
      <c r="O5" s="1" t="s">
        <v>16</v>
      </c>
    </row>
    <row r="6" spans="1:15" x14ac:dyDescent="0.3">
      <c r="A6" s="9" t="s">
        <v>20</v>
      </c>
      <c r="B6" s="9" t="s">
        <v>146</v>
      </c>
      <c r="C6" s="9" t="s">
        <v>147</v>
      </c>
      <c r="D6" s="11">
        <f t="shared" si="0"/>
        <v>-7.3420527777777771</v>
      </c>
      <c r="E6" s="11">
        <f t="shared" si="1"/>
        <v>108.0429361111111</v>
      </c>
      <c r="F6" s="1">
        <v>86.52</v>
      </c>
      <c r="G6" s="1" t="s">
        <v>14</v>
      </c>
      <c r="H6" s="1">
        <v>50.65</v>
      </c>
      <c r="I6" s="1" t="s">
        <v>15</v>
      </c>
      <c r="J6" s="1">
        <v>83.92</v>
      </c>
      <c r="K6" s="1" t="s">
        <v>15</v>
      </c>
      <c r="L6" s="1">
        <v>6.4</v>
      </c>
      <c r="M6" s="1">
        <v>71.400000000000006</v>
      </c>
      <c r="N6" s="1">
        <v>22.2</v>
      </c>
      <c r="O6" s="1" t="s">
        <v>16</v>
      </c>
    </row>
    <row r="7" spans="1:15" x14ac:dyDescent="0.3">
      <c r="A7" s="9" t="s">
        <v>21</v>
      </c>
      <c r="B7" s="9" t="s">
        <v>148</v>
      </c>
      <c r="C7" s="9" t="s">
        <v>149</v>
      </c>
      <c r="D7" s="11">
        <f t="shared" si="0"/>
        <v>-7.3420999999999994</v>
      </c>
      <c r="E7" s="11">
        <f t="shared" si="1"/>
        <v>108.04291111111111</v>
      </c>
      <c r="F7" s="1">
        <v>93.77</v>
      </c>
      <c r="G7" s="1" t="s">
        <v>14</v>
      </c>
      <c r="H7" s="1">
        <v>48.86</v>
      </c>
      <c r="I7" s="1" t="s">
        <v>15</v>
      </c>
      <c r="J7" s="1">
        <v>94.9</v>
      </c>
      <c r="K7" s="1" t="s">
        <v>15</v>
      </c>
      <c r="L7" s="1">
        <v>6.5</v>
      </c>
      <c r="M7" s="1">
        <v>75.8</v>
      </c>
      <c r="N7" s="1">
        <v>23.1</v>
      </c>
      <c r="O7" s="1" t="s">
        <v>16</v>
      </c>
    </row>
    <row r="8" spans="1:15" x14ac:dyDescent="0.3">
      <c r="A8" s="9" t="s">
        <v>22</v>
      </c>
      <c r="B8" s="9" t="s">
        <v>150</v>
      </c>
      <c r="C8" s="9" t="s">
        <v>151</v>
      </c>
      <c r="D8" s="11">
        <f t="shared" si="0"/>
        <v>-7.3421527777777778</v>
      </c>
      <c r="E8" s="11">
        <f t="shared" si="1"/>
        <v>108.04288888888888</v>
      </c>
      <c r="F8" s="1">
        <v>81.5</v>
      </c>
      <c r="G8" s="1" t="s">
        <v>14</v>
      </c>
      <c r="H8" s="1">
        <v>45.64</v>
      </c>
      <c r="I8" s="1" t="s">
        <v>15</v>
      </c>
      <c r="J8" s="1">
        <v>80.83</v>
      </c>
      <c r="K8" s="1" t="s">
        <v>15</v>
      </c>
      <c r="L8" s="1">
        <v>7</v>
      </c>
      <c r="M8" s="1">
        <v>74</v>
      </c>
      <c r="N8" s="1">
        <v>22.1</v>
      </c>
      <c r="O8" s="1" t="s">
        <v>16</v>
      </c>
    </row>
    <row r="9" spans="1:15" x14ac:dyDescent="0.3">
      <c r="A9" s="9" t="s">
        <v>23</v>
      </c>
      <c r="B9" s="9" t="s">
        <v>152</v>
      </c>
      <c r="C9" s="9" t="s">
        <v>153</v>
      </c>
      <c r="D9" s="11">
        <f t="shared" si="0"/>
        <v>-7.3422055555555552</v>
      </c>
      <c r="E9" s="11">
        <f t="shared" si="1"/>
        <v>108.04286666666667</v>
      </c>
      <c r="F9" s="1">
        <v>94.24</v>
      </c>
      <c r="G9" s="1" t="s">
        <v>14</v>
      </c>
      <c r="H9" s="1">
        <v>41.96</v>
      </c>
      <c r="I9" s="1" t="s">
        <v>15</v>
      </c>
      <c r="J9" s="1">
        <v>76.28</v>
      </c>
      <c r="K9" s="1" t="s">
        <v>15</v>
      </c>
      <c r="L9" s="1">
        <v>6.2</v>
      </c>
      <c r="M9" s="1">
        <v>72.3</v>
      </c>
      <c r="N9" s="1">
        <v>22.7</v>
      </c>
      <c r="O9" s="1" t="s">
        <v>16</v>
      </c>
    </row>
    <row r="10" spans="1:15" x14ac:dyDescent="0.3">
      <c r="A10" s="9" t="s">
        <v>24</v>
      </c>
      <c r="B10" s="9" t="s">
        <v>154</v>
      </c>
      <c r="C10" s="9" t="s">
        <v>155</v>
      </c>
      <c r="D10" s="11">
        <f t="shared" si="0"/>
        <v>-7.3420722222222219</v>
      </c>
      <c r="E10" s="11">
        <f t="shared" si="1"/>
        <v>108.04298888888889</v>
      </c>
      <c r="F10" s="1">
        <v>80.88</v>
      </c>
      <c r="G10" s="1" t="s">
        <v>14</v>
      </c>
      <c r="H10" s="1">
        <v>45.13</v>
      </c>
      <c r="I10" s="1" t="s">
        <v>15</v>
      </c>
      <c r="J10" s="1">
        <v>94.54</v>
      </c>
      <c r="K10" s="1" t="s">
        <v>15</v>
      </c>
      <c r="L10" s="1">
        <v>6.4</v>
      </c>
      <c r="M10" s="1">
        <v>75.5</v>
      </c>
      <c r="N10" s="1">
        <v>23.7</v>
      </c>
      <c r="O10" s="1" t="s">
        <v>16</v>
      </c>
    </row>
    <row r="11" spans="1:15" x14ac:dyDescent="0.3">
      <c r="A11" s="9" t="s">
        <v>25</v>
      </c>
      <c r="B11" s="9" t="s">
        <v>156</v>
      </c>
      <c r="C11" s="9" t="s">
        <v>157</v>
      </c>
      <c r="D11" s="11">
        <f t="shared" si="0"/>
        <v>-7.3421249999999993</v>
      </c>
      <c r="E11" s="11">
        <f t="shared" si="1"/>
        <v>108.04296388888889</v>
      </c>
      <c r="F11" s="1">
        <v>77.430000000000007</v>
      </c>
      <c r="G11" s="1" t="s">
        <v>14</v>
      </c>
      <c r="H11" s="1">
        <v>52.43</v>
      </c>
      <c r="I11" s="1" t="s">
        <v>15</v>
      </c>
      <c r="J11" s="1">
        <v>81.88</v>
      </c>
      <c r="K11" s="1" t="s">
        <v>15</v>
      </c>
      <c r="L11" s="1">
        <v>6.5</v>
      </c>
      <c r="M11" s="1">
        <v>76</v>
      </c>
      <c r="N11" s="1">
        <v>23.9</v>
      </c>
      <c r="O11" s="1" t="s">
        <v>16</v>
      </c>
    </row>
    <row r="12" spans="1:15" x14ac:dyDescent="0.3">
      <c r="A12" s="9" t="s">
        <v>26</v>
      </c>
      <c r="B12" s="9" t="s">
        <v>158</v>
      </c>
      <c r="C12" s="9" t="s">
        <v>159</v>
      </c>
      <c r="D12" s="11">
        <f t="shared" si="0"/>
        <v>-7.3421777777777777</v>
      </c>
      <c r="E12" s="11">
        <f t="shared" si="1"/>
        <v>108.04293888888888</v>
      </c>
      <c r="F12" s="1">
        <v>93.16</v>
      </c>
      <c r="G12" s="1" t="s">
        <v>14</v>
      </c>
      <c r="H12" s="1">
        <v>42.57</v>
      </c>
      <c r="I12" s="1" t="s">
        <v>15</v>
      </c>
      <c r="J12" s="1">
        <v>83.09</v>
      </c>
      <c r="K12" s="1" t="s">
        <v>15</v>
      </c>
      <c r="L12" s="1">
        <v>6.1</v>
      </c>
      <c r="M12" s="1">
        <v>78</v>
      </c>
      <c r="N12" s="1">
        <v>23.4</v>
      </c>
      <c r="O12" s="1" t="s">
        <v>16</v>
      </c>
    </row>
    <row r="13" spans="1:15" x14ac:dyDescent="0.3">
      <c r="A13" s="9" t="s">
        <v>27</v>
      </c>
      <c r="B13" s="9" t="s">
        <v>160</v>
      </c>
      <c r="C13" s="9" t="s">
        <v>161</v>
      </c>
      <c r="D13" s="11">
        <f t="shared" si="0"/>
        <v>-7.3422305555555551</v>
      </c>
      <c r="E13" s="11">
        <f t="shared" si="1"/>
        <v>108.04291944444444</v>
      </c>
      <c r="F13" s="1">
        <v>68.7</v>
      </c>
      <c r="G13" s="1" t="s">
        <v>14</v>
      </c>
      <c r="H13" s="1">
        <v>36.94</v>
      </c>
      <c r="I13" s="1" t="s">
        <v>14</v>
      </c>
      <c r="J13" s="1">
        <v>83.83</v>
      </c>
      <c r="K13" s="1" t="s">
        <v>15</v>
      </c>
      <c r="L13" s="1">
        <v>6.2</v>
      </c>
      <c r="M13" s="1">
        <v>70.099999999999994</v>
      </c>
      <c r="N13" s="1">
        <v>23.2</v>
      </c>
      <c r="O13" s="1" t="s">
        <v>28</v>
      </c>
    </row>
    <row r="14" spans="1:15" x14ac:dyDescent="0.3">
      <c r="A14" s="9" t="s">
        <v>29</v>
      </c>
      <c r="B14" s="9" t="s">
        <v>162</v>
      </c>
      <c r="C14" s="9" t="s">
        <v>163</v>
      </c>
      <c r="D14" s="11">
        <f t="shared" si="0"/>
        <v>-7.3420972222222218</v>
      </c>
      <c r="E14" s="11">
        <f t="shared" si="1"/>
        <v>108.04304166666667</v>
      </c>
      <c r="F14" s="1">
        <v>48.4</v>
      </c>
      <c r="G14" s="1" t="s">
        <v>14</v>
      </c>
      <c r="H14" s="1">
        <v>36.07</v>
      </c>
      <c r="I14" s="1" t="s">
        <v>14</v>
      </c>
      <c r="J14" s="1">
        <v>80.349999999999994</v>
      </c>
      <c r="K14" s="1" t="s">
        <v>15</v>
      </c>
      <c r="L14" s="1">
        <v>6</v>
      </c>
      <c r="M14" s="1">
        <v>78.2</v>
      </c>
      <c r="N14" s="1">
        <v>22.9</v>
      </c>
      <c r="O14" s="1" t="s">
        <v>28</v>
      </c>
    </row>
    <row r="15" spans="1:15" x14ac:dyDescent="0.3">
      <c r="A15" s="9" t="s">
        <v>30</v>
      </c>
      <c r="B15" s="9" t="s">
        <v>164</v>
      </c>
      <c r="C15" s="9" t="s">
        <v>165</v>
      </c>
      <c r="D15" s="11">
        <f t="shared" si="0"/>
        <v>-7.3421499999999993</v>
      </c>
      <c r="E15" s="11">
        <f t="shared" si="1"/>
        <v>108.04301666666666</v>
      </c>
      <c r="F15" s="1">
        <v>65.400000000000006</v>
      </c>
      <c r="G15" s="1" t="s">
        <v>14</v>
      </c>
      <c r="H15" s="1">
        <v>41.98</v>
      </c>
      <c r="I15" s="1" t="s">
        <v>15</v>
      </c>
      <c r="J15" s="1">
        <v>55.36</v>
      </c>
      <c r="K15" s="1" t="s">
        <v>15</v>
      </c>
      <c r="L15" s="1">
        <v>6.3</v>
      </c>
      <c r="M15" s="1">
        <v>73.599999999999994</v>
      </c>
      <c r="N15" s="1">
        <v>22.5</v>
      </c>
      <c r="O15" s="1" t="s">
        <v>28</v>
      </c>
    </row>
    <row r="16" spans="1:15" x14ac:dyDescent="0.3">
      <c r="A16" s="9" t="s">
        <v>31</v>
      </c>
      <c r="B16" s="9" t="s">
        <v>166</v>
      </c>
      <c r="C16" s="9" t="s">
        <v>167</v>
      </c>
      <c r="D16" s="11">
        <f t="shared" si="0"/>
        <v>-7.3422027777777776</v>
      </c>
      <c r="E16" s="11">
        <f t="shared" si="1"/>
        <v>108.04299166666667</v>
      </c>
      <c r="F16" s="1">
        <v>60.35</v>
      </c>
      <c r="G16" s="1" t="s">
        <v>14</v>
      </c>
      <c r="H16" s="1">
        <v>47.6</v>
      </c>
      <c r="I16" s="1" t="s">
        <v>15</v>
      </c>
      <c r="J16" s="1">
        <v>80.400000000000006</v>
      </c>
      <c r="K16" s="1" t="s">
        <v>15</v>
      </c>
      <c r="L16" s="1">
        <v>7.5</v>
      </c>
      <c r="M16" s="1">
        <v>78.3</v>
      </c>
      <c r="N16" s="1">
        <v>22.9</v>
      </c>
      <c r="O16" s="1" t="s">
        <v>28</v>
      </c>
    </row>
    <row r="17" spans="1:15" x14ac:dyDescent="0.3">
      <c r="A17" s="9" t="s">
        <v>32</v>
      </c>
      <c r="B17" s="9" t="s">
        <v>168</v>
      </c>
      <c r="C17" s="9" t="s">
        <v>169</v>
      </c>
      <c r="D17" s="11">
        <f t="shared" si="0"/>
        <v>-7.3422527777777775</v>
      </c>
      <c r="E17" s="11">
        <f t="shared" si="1"/>
        <v>108.04296666666666</v>
      </c>
      <c r="F17" s="1">
        <v>64.55</v>
      </c>
      <c r="G17" s="1" t="s">
        <v>14</v>
      </c>
      <c r="H17" s="1">
        <v>36.47</v>
      </c>
      <c r="I17" s="1" t="s">
        <v>14</v>
      </c>
      <c r="J17" s="1">
        <v>75.069999999999993</v>
      </c>
      <c r="K17" s="1" t="s">
        <v>15</v>
      </c>
      <c r="L17" s="1">
        <v>7.4</v>
      </c>
      <c r="M17" s="1">
        <v>76.599999999999994</v>
      </c>
      <c r="N17" s="1">
        <v>22.6</v>
      </c>
      <c r="O17" s="1" t="s">
        <v>28</v>
      </c>
    </row>
    <row r="18" spans="1:15" x14ac:dyDescent="0.3">
      <c r="A18" s="9" t="s">
        <v>33</v>
      </c>
      <c r="B18" s="9" t="s">
        <v>170</v>
      </c>
      <c r="C18" s="9" t="s">
        <v>171</v>
      </c>
      <c r="D18" s="11">
        <f t="shared" si="0"/>
        <v>-7.3421222222222218</v>
      </c>
      <c r="E18" s="11">
        <f t="shared" si="1"/>
        <v>108.04309444444445</v>
      </c>
      <c r="F18" s="1">
        <v>50.59</v>
      </c>
      <c r="G18" s="1" t="s">
        <v>14</v>
      </c>
      <c r="H18" s="1">
        <v>46.84</v>
      </c>
      <c r="I18" s="1" t="s">
        <v>15</v>
      </c>
      <c r="J18" s="1">
        <v>59.65</v>
      </c>
      <c r="K18" s="1" t="s">
        <v>15</v>
      </c>
      <c r="L18" s="1">
        <v>6.9</v>
      </c>
      <c r="M18" s="1">
        <v>76.3</v>
      </c>
      <c r="N18" s="1">
        <v>23.6</v>
      </c>
      <c r="O18" s="1" t="s">
        <v>28</v>
      </c>
    </row>
    <row r="19" spans="1:15" x14ac:dyDescent="0.3">
      <c r="A19" s="9" t="s">
        <v>34</v>
      </c>
      <c r="B19" s="9" t="s">
        <v>172</v>
      </c>
      <c r="C19" s="9" t="s">
        <v>173</v>
      </c>
      <c r="D19" s="11">
        <f t="shared" si="0"/>
        <v>-7.3421750000000001</v>
      </c>
      <c r="E19" s="11">
        <f t="shared" si="1"/>
        <v>108.04306944444444</v>
      </c>
      <c r="F19" s="1">
        <v>47.67</v>
      </c>
      <c r="G19" s="1" t="s">
        <v>14</v>
      </c>
      <c r="H19" s="1">
        <v>39.93</v>
      </c>
      <c r="I19" s="1" t="s">
        <v>14</v>
      </c>
      <c r="J19" s="1">
        <v>61.4</v>
      </c>
      <c r="K19" s="1" t="s">
        <v>15</v>
      </c>
      <c r="L19" s="1">
        <v>5.9</v>
      </c>
      <c r="M19" s="1">
        <v>72</v>
      </c>
      <c r="N19" s="1">
        <v>23.1</v>
      </c>
      <c r="O19" s="1" t="s">
        <v>28</v>
      </c>
    </row>
    <row r="20" spans="1:15" x14ac:dyDescent="0.3">
      <c r="A20" s="9" t="s">
        <v>35</v>
      </c>
      <c r="B20" s="9" t="s">
        <v>174</v>
      </c>
      <c r="C20" s="9" t="s">
        <v>175</v>
      </c>
      <c r="D20" s="11">
        <f t="shared" si="0"/>
        <v>-7.3422222222222215</v>
      </c>
      <c r="E20" s="11">
        <f t="shared" si="1"/>
        <v>108.04304444444445</v>
      </c>
      <c r="F20" s="1">
        <v>68.17</v>
      </c>
      <c r="G20" s="1" t="s">
        <v>14</v>
      </c>
      <c r="H20" s="1">
        <v>41.6</v>
      </c>
      <c r="I20" s="1" t="s">
        <v>15</v>
      </c>
      <c r="J20" s="1">
        <v>81.97</v>
      </c>
      <c r="K20" s="1" t="s">
        <v>15</v>
      </c>
      <c r="L20" s="1">
        <v>7.2</v>
      </c>
      <c r="M20" s="1">
        <v>72.099999999999994</v>
      </c>
      <c r="N20" s="1">
        <v>23.4</v>
      </c>
      <c r="O20" s="1" t="s">
        <v>40</v>
      </c>
    </row>
    <row r="21" spans="1:15" x14ac:dyDescent="0.3">
      <c r="A21" s="9" t="s">
        <v>36</v>
      </c>
      <c r="B21" s="9" t="s">
        <v>176</v>
      </c>
      <c r="C21" s="9" t="s">
        <v>177</v>
      </c>
      <c r="D21" s="11">
        <f t="shared" si="0"/>
        <v>-7.3422749999999999</v>
      </c>
      <c r="E21" s="11">
        <f t="shared" si="1"/>
        <v>108.04301944444444</v>
      </c>
      <c r="F21" s="1">
        <v>63.62</v>
      </c>
      <c r="G21" s="1" t="s">
        <v>14</v>
      </c>
      <c r="H21" s="1">
        <v>31.88</v>
      </c>
      <c r="I21" s="1" t="s">
        <v>14</v>
      </c>
      <c r="J21" s="1">
        <v>78.989999999999995</v>
      </c>
      <c r="K21" s="1" t="s">
        <v>15</v>
      </c>
      <c r="L21" s="1">
        <v>5.9</v>
      </c>
      <c r="M21" s="1">
        <v>70.3</v>
      </c>
      <c r="N21" s="1">
        <v>22.3</v>
      </c>
      <c r="O21" s="1" t="s">
        <v>40</v>
      </c>
    </row>
    <row r="22" spans="1:15" x14ac:dyDescent="0.3">
      <c r="A22" s="9" t="s">
        <v>37</v>
      </c>
      <c r="B22" s="9" t="s">
        <v>178</v>
      </c>
      <c r="C22" s="9" t="s">
        <v>179</v>
      </c>
      <c r="D22" s="11">
        <f t="shared" si="0"/>
        <v>-7.3421472222222217</v>
      </c>
      <c r="E22" s="11">
        <f t="shared" si="1"/>
        <v>108.04314166666667</v>
      </c>
      <c r="F22" s="1">
        <v>52.43</v>
      </c>
      <c r="G22" s="1" t="s">
        <v>14</v>
      </c>
      <c r="H22" s="1">
        <v>43.39</v>
      </c>
      <c r="I22" s="1" t="s">
        <v>15</v>
      </c>
      <c r="J22" s="1">
        <v>74.72</v>
      </c>
      <c r="K22" s="1" t="s">
        <v>15</v>
      </c>
      <c r="L22" s="1">
        <v>6.7</v>
      </c>
      <c r="M22" s="1">
        <v>74.5</v>
      </c>
      <c r="N22" s="1">
        <v>23.9</v>
      </c>
      <c r="O22" s="1" t="s">
        <v>40</v>
      </c>
    </row>
    <row r="23" spans="1:15" x14ac:dyDescent="0.3">
      <c r="A23" s="9" t="s">
        <v>38</v>
      </c>
      <c r="B23" s="9" t="s">
        <v>180</v>
      </c>
      <c r="C23" s="9" t="s">
        <v>181</v>
      </c>
      <c r="D23" s="11">
        <f t="shared" si="0"/>
        <v>-7.342194444444444</v>
      </c>
      <c r="E23" s="11">
        <f t="shared" si="1"/>
        <v>108.04312222222222</v>
      </c>
      <c r="F23" s="1">
        <v>57.22</v>
      </c>
      <c r="G23" s="1" t="s">
        <v>14</v>
      </c>
      <c r="H23" s="1">
        <v>33.4</v>
      </c>
      <c r="I23" s="1" t="s">
        <v>14</v>
      </c>
      <c r="J23" s="1">
        <v>65.33</v>
      </c>
      <c r="K23" s="1" t="s">
        <v>15</v>
      </c>
      <c r="L23" s="1">
        <v>6.2</v>
      </c>
      <c r="M23" s="1">
        <v>72.5</v>
      </c>
      <c r="N23" s="1">
        <v>23.5</v>
      </c>
      <c r="O23" s="1" t="s">
        <v>40</v>
      </c>
    </row>
    <row r="24" spans="1:15" x14ac:dyDescent="0.3">
      <c r="A24" s="9" t="s">
        <v>39</v>
      </c>
      <c r="B24" s="9" t="s">
        <v>182</v>
      </c>
      <c r="C24" s="9" t="s">
        <v>183</v>
      </c>
      <c r="D24" s="11">
        <f t="shared" si="0"/>
        <v>-7.3422472222222224</v>
      </c>
      <c r="E24" s="11">
        <f t="shared" si="1"/>
        <v>108.04309722222222</v>
      </c>
      <c r="F24" s="1">
        <v>41.82</v>
      </c>
      <c r="G24" s="1" t="s">
        <v>14</v>
      </c>
      <c r="H24" s="1">
        <v>40.75</v>
      </c>
      <c r="I24" s="1" t="s">
        <v>15</v>
      </c>
      <c r="J24" s="1">
        <v>65.84</v>
      </c>
      <c r="K24" s="1" t="s">
        <v>15</v>
      </c>
      <c r="L24" s="1">
        <v>6.3</v>
      </c>
      <c r="M24" s="1">
        <v>70</v>
      </c>
      <c r="N24" s="1">
        <v>22.9</v>
      </c>
      <c r="O24" s="1" t="s">
        <v>40</v>
      </c>
    </row>
    <row r="25" spans="1:15" x14ac:dyDescent="0.3">
      <c r="A25" s="9" t="s">
        <v>41</v>
      </c>
      <c r="B25" s="9" t="s">
        <v>184</v>
      </c>
      <c r="C25" s="9" t="s">
        <v>185</v>
      </c>
      <c r="D25" s="11">
        <f t="shared" si="0"/>
        <v>-7.3422999999999998</v>
      </c>
      <c r="E25" s="11">
        <f t="shared" si="1"/>
        <v>108.04307222222222</v>
      </c>
      <c r="F25" s="1">
        <v>37.340000000000003</v>
      </c>
      <c r="G25" s="1" t="s">
        <v>42</v>
      </c>
      <c r="H25" s="1">
        <v>33.729999999999997</v>
      </c>
      <c r="I25" s="1" t="s">
        <v>14</v>
      </c>
      <c r="J25" s="1">
        <v>67.67</v>
      </c>
      <c r="K25" s="1" t="s">
        <v>15</v>
      </c>
      <c r="L25" s="1">
        <v>5.8</v>
      </c>
      <c r="M25" s="1">
        <v>77.2</v>
      </c>
      <c r="N25" s="1">
        <v>23.6</v>
      </c>
      <c r="O25" s="1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B2A1A-05ED-4EF6-AF65-9AC6FC7B3377}">
  <dimension ref="B3:H7"/>
  <sheetViews>
    <sheetView workbookViewId="0">
      <selection activeCell="D7" sqref="D7"/>
    </sheetView>
  </sheetViews>
  <sheetFormatPr defaultRowHeight="14.4" x14ac:dyDescent="0.3"/>
  <cols>
    <col min="2" max="2" width="13.33203125" customWidth="1"/>
    <col min="3" max="3" width="14" bestFit="1" customWidth="1"/>
    <col min="4" max="4" width="20.6640625" bestFit="1" customWidth="1"/>
    <col min="5" max="5" width="18.77734375" bestFit="1" customWidth="1"/>
    <col min="6" max="6" width="16.88671875" bestFit="1" customWidth="1"/>
    <col min="7" max="7" width="19.33203125" bestFit="1" customWidth="1"/>
    <col min="8" max="8" width="16.33203125" bestFit="1" customWidth="1"/>
  </cols>
  <sheetData>
    <row r="3" spans="2:8" x14ac:dyDescent="0.3">
      <c r="B3" s="1" t="s">
        <v>93</v>
      </c>
      <c r="C3" s="1" t="s">
        <v>94</v>
      </c>
      <c r="D3" s="1" t="s">
        <v>95</v>
      </c>
      <c r="E3" s="1" t="s">
        <v>96</v>
      </c>
      <c r="F3" s="1" t="s">
        <v>97</v>
      </c>
      <c r="G3" s="1" t="s">
        <v>98</v>
      </c>
      <c r="H3" s="1" t="s">
        <v>99</v>
      </c>
    </row>
    <row r="4" spans="2:8" x14ac:dyDescent="0.3">
      <c r="B4" s="1" t="s">
        <v>100</v>
      </c>
      <c r="C4" s="1" t="s">
        <v>101</v>
      </c>
      <c r="D4" s="1">
        <v>1500</v>
      </c>
      <c r="E4" s="1" t="s">
        <v>102</v>
      </c>
      <c r="F4" s="1" t="s">
        <v>103</v>
      </c>
      <c r="G4" s="1">
        <v>3750</v>
      </c>
      <c r="H4" s="1">
        <v>5625</v>
      </c>
    </row>
    <row r="5" spans="2:8" x14ac:dyDescent="0.3">
      <c r="B5" s="1" t="s">
        <v>104</v>
      </c>
      <c r="C5" s="1" t="s">
        <v>105</v>
      </c>
      <c r="D5" s="1">
        <v>200</v>
      </c>
      <c r="E5" s="1" t="s">
        <v>102</v>
      </c>
      <c r="F5" s="1" t="s">
        <v>106</v>
      </c>
      <c r="G5" s="1">
        <v>500</v>
      </c>
      <c r="H5" s="1">
        <v>1500</v>
      </c>
    </row>
    <row r="6" spans="2:8" x14ac:dyDescent="0.3">
      <c r="B6" s="1" t="s">
        <v>107</v>
      </c>
      <c r="C6" s="1" t="s">
        <v>108</v>
      </c>
      <c r="D6" s="1">
        <v>150</v>
      </c>
      <c r="E6" s="1" t="s">
        <v>102</v>
      </c>
      <c r="F6" s="1" t="s">
        <v>109</v>
      </c>
      <c r="G6" s="1">
        <v>375</v>
      </c>
      <c r="H6" s="1">
        <v>1312</v>
      </c>
    </row>
    <row r="7" spans="2:8" x14ac:dyDescent="0.3">
      <c r="B7" s="1" t="s">
        <v>110</v>
      </c>
      <c r="C7" s="1" t="s">
        <v>111</v>
      </c>
      <c r="D7" s="1">
        <v>100</v>
      </c>
      <c r="E7" s="1" t="s">
        <v>102</v>
      </c>
      <c r="F7" s="1" t="s">
        <v>112</v>
      </c>
      <c r="G7" s="1">
        <v>250</v>
      </c>
      <c r="H7" s="1">
        <v>1250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F6299-371E-4962-B09C-812EE1F440B3}">
  <dimension ref="B4:D8"/>
  <sheetViews>
    <sheetView workbookViewId="0">
      <selection activeCell="D6" sqref="D6"/>
    </sheetView>
  </sheetViews>
  <sheetFormatPr defaultRowHeight="14.4" x14ac:dyDescent="0.3"/>
  <cols>
    <col min="2" max="2" width="13.88671875" bestFit="1" customWidth="1"/>
    <col min="3" max="3" width="23" bestFit="1" customWidth="1"/>
    <col min="4" max="4" width="30.109375" bestFit="1" customWidth="1"/>
  </cols>
  <sheetData>
    <row r="4" spans="2:4" x14ac:dyDescent="0.3">
      <c r="B4" s="1" t="s">
        <v>93</v>
      </c>
      <c r="C4" s="1" t="s">
        <v>113</v>
      </c>
      <c r="D4" s="1" t="s">
        <v>114</v>
      </c>
    </row>
    <row r="5" spans="2:4" x14ac:dyDescent="0.3">
      <c r="B5" s="1" t="s">
        <v>115</v>
      </c>
      <c r="C5" s="5">
        <v>1.5</v>
      </c>
      <c r="D5" s="1" t="s">
        <v>116</v>
      </c>
    </row>
    <row r="6" spans="2:4" x14ac:dyDescent="0.3">
      <c r="B6" s="1" t="s">
        <v>117</v>
      </c>
      <c r="C6" s="5">
        <v>3</v>
      </c>
      <c r="D6" s="1" t="s">
        <v>118</v>
      </c>
    </row>
    <row r="7" spans="2:4" x14ac:dyDescent="0.3">
      <c r="B7" s="1" t="s">
        <v>119</v>
      </c>
      <c r="C7" s="5">
        <v>3.5</v>
      </c>
      <c r="D7" s="1" t="s">
        <v>120</v>
      </c>
    </row>
    <row r="8" spans="2:4" x14ac:dyDescent="0.3">
      <c r="B8" s="1" t="s">
        <v>121</v>
      </c>
      <c r="C8" s="5">
        <v>5</v>
      </c>
      <c r="D8" s="1" t="s">
        <v>122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6BE03-A34F-46E3-BA10-6A7393E1B346}">
  <dimension ref="B3:D7"/>
  <sheetViews>
    <sheetView workbookViewId="0">
      <selection activeCell="D4" sqref="D4"/>
    </sheetView>
  </sheetViews>
  <sheetFormatPr defaultRowHeight="14.4" x14ac:dyDescent="0.3"/>
  <cols>
    <col min="3" max="3" width="35" customWidth="1"/>
    <col min="4" max="4" width="52.21875" customWidth="1"/>
  </cols>
  <sheetData>
    <row r="3" spans="2:4" x14ac:dyDescent="0.3">
      <c r="B3" s="6" t="s">
        <v>123</v>
      </c>
      <c r="C3" s="6" t="s">
        <v>124</v>
      </c>
      <c r="D3" s="6" t="s">
        <v>137</v>
      </c>
    </row>
    <row r="4" spans="2:4" ht="28.8" x14ac:dyDescent="0.3">
      <c r="B4" s="6" t="s">
        <v>125</v>
      </c>
      <c r="C4" s="6" t="s">
        <v>126</v>
      </c>
      <c r="D4" s="6" t="s">
        <v>127</v>
      </c>
    </row>
    <row r="5" spans="2:4" ht="28.8" x14ac:dyDescent="0.3">
      <c r="B5" s="6" t="s">
        <v>128</v>
      </c>
      <c r="C5" s="6" t="s">
        <v>129</v>
      </c>
      <c r="D5" s="6" t="s">
        <v>130</v>
      </c>
    </row>
    <row r="6" spans="2:4" ht="28.8" x14ac:dyDescent="0.3">
      <c r="B6" s="6" t="s">
        <v>131</v>
      </c>
      <c r="C6" s="6" t="s">
        <v>132</v>
      </c>
      <c r="D6" s="6" t="s">
        <v>133</v>
      </c>
    </row>
    <row r="7" spans="2:4" ht="28.8" x14ac:dyDescent="0.3">
      <c r="B7" s="6" t="s">
        <v>134</v>
      </c>
      <c r="C7" s="6" t="s">
        <v>135</v>
      </c>
      <c r="D7" s="6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TabelAcuan Kriteria</vt:lpstr>
      <vt:lpstr>Terklasifikasi</vt:lpstr>
      <vt:lpstr>Dosis Presisi (Luas Petak 5x5m </vt:lpstr>
      <vt:lpstr>Referensi Harga Pupuk</vt:lpstr>
      <vt:lpstr>Perbandingan Ekonomi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Supyan Sauri</cp:lastModifiedBy>
  <cp:lastPrinted>2026-04-06T03:38:28Z</cp:lastPrinted>
  <dcterms:created xsi:type="dcterms:W3CDTF">2026-04-04T18:40:31Z</dcterms:created>
  <dcterms:modified xsi:type="dcterms:W3CDTF">2026-04-14T16:55:02Z</dcterms:modified>
</cp:coreProperties>
</file>