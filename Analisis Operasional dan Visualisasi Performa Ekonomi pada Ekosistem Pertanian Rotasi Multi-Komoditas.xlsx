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Syntax\"/>
    </mc:Choice>
  </mc:AlternateContent>
  <xr:revisionPtr revIDLastSave="0" documentId="8_{343279C8-6A30-463A-971B-68733FF9FF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3" r:id="rId1"/>
    <sheet name="Sheet2 (2)" sheetId="4" r:id="rId2"/>
  </sheets>
  <calcPr calcId="191029"/>
</workbook>
</file>

<file path=xl/calcChain.xml><?xml version="1.0" encoding="utf-8"?>
<calcChain xmlns="http://schemas.openxmlformats.org/spreadsheetml/2006/main">
  <c r="N42" i="4" l="1"/>
  <c r="N41" i="4"/>
  <c r="N40" i="4"/>
  <c r="N34" i="4"/>
  <c r="N36" i="4"/>
  <c r="N37" i="4"/>
  <c r="N38" i="4"/>
  <c r="N39" i="4"/>
  <c r="N35" i="4"/>
  <c r="N26" i="4"/>
  <c r="N28" i="4"/>
  <c r="N19" i="4"/>
  <c r="N20" i="4"/>
  <c r="N21" i="4"/>
  <c r="N22" i="4"/>
  <c r="N23" i="4"/>
  <c r="N24" i="4"/>
  <c r="N25" i="4"/>
  <c r="N27" i="4"/>
  <c r="N29" i="4"/>
  <c r="N18" i="4"/>
  <c r="N15" i="4"/>
  <c r="N10" i="4"/>
  <c r="N11" i="4"/>
  <c r="N12" i="4"/>
  <c r="N13" i="4"/>
  <c r="N9" i="4"/>
  <c r="N14" i="4" l="1"/>
  <c r="N16" i="4" s="1"/>
  <c r="N30" i="4"/>
  <c r="N32" i="4" s="1"/>
</calcChain>
</file>

<file path=xl/sharedStrings.xml><?xml version="1.0" encoding="utf-8"?>
<sst xmlns="http://schemas.openxmlformats.org/spreadsheetml/2006/main" count="513" uniqueCount="74">
  <si>
    <t>qty_used</t>
  </si>
  <si>
    <t>uom</t>
  </si>
  <si>
    <t>Pemeliharaan</t>
  </si>
  <si>
    <t>Tenaga Kerja</t>
  </si>
  <si>
    <t>Cerah</t>
  </si>
  <si>
    <t>Penanaman</t>
  </si>
  <si>
    <t>Vegetatif</t>
  </si>
  <si>
    <t>Pemupukan</t>
  </si>
  <si>
    <t>kg</t>
  </si>
  <si>
    <t>Singkong</t>
  </si>
  <si>
    <t>id_siklus</t>
  </si>
  <si>
    <t>tanggal_catat</t>
  </si>
  <si>
    <t>id_blok</t>
  </si>
  <si>
    <t>nama_komoditas</t>
  </si>
  <si>
    <t>fase_pertumbuhan</t>
  </si>
  <si>
    <t>kategori_aktivitas</t>
  </si>
  <si>
    <t>detail_aktivitas</t>
  </si>
  <si>
    <t>jenis_sumber_daya</t>
  </si>
  <si>
    <t>biaya_satuan_rp</t>
  </si>
  <si>
    <t>total_biaya_rp</t>
  </si>
  <si>
    <t>jam_kerja</t>
  </si>
  <si>
    <t>kondisi_cuaca</t>
  </si>
  <si>
    <t>S1-SINGKONG</t>
  </si>
  <si>
    <t>Blok_Utama</t>
  </si>
  <si>
    <t>Persiapan</t>
  </si>
  <si>
    <t>Pengolahan lahan (800m2)</t>
  </si>
  <si>
    <t>orang</t>
  </si>
  <si>
    <t>Pemupukan Phonska Subsidi</t>
  </si>
  <si>
    <t>Pupuk Phonska</t>
  </si>
  <si>
    <t>Panen</t>
  </si>
  <si>
    <t>Penanaman bibit (Durasi 2 hari)</t>
  </si>
  <si>
    <t>Penyiangan rumput I (5 hari)</t>
  </si>
  <si>
    <t>Penyiangan rumput II (5 hari)</t>
  </si>
  <si>
    <t>Penjualan borongan (Bandar)</t>
  </si>
  <si>
    <t>S2-JAGUNG</t>
  </si>
  <si>
    <t>Jagung</t>
  </si>
  <si>
    <t>Pengolahan lahan (2 hari)</t>
  </si>
  <si>
    <t>Penanaman bibit jagung</t>
  </si>
  <si>
    <t>Penyiangan rumput (10 hari pasca tanam)</t>
  </si>
  <si>
    <t>Pemupukan Phonska I (25kg)</t>
  </si>
  <si>
    <t>Berawan</t>
  </si>
  <si>
    <t>Tenaga kerja pemupukan I</t>
  </si>
  <si>
    <t>Pemupukan Phonska II (25kg)</t>
  </si>
  <si>
    <t>Tenaga kerja pemupukan II</t>
  </si>
  <si>
    <t>Penyemprotan Gandasil D (Daun)</t>
  </si>
  <si>
    <t>Gandasil D</t>
  </si>
  <si>
    <t>0.25</t>
  </si>
  <si>
    <t>Tenaga kerja penyemprotan I</t>
  </si>
  <si>
    <t>Generatif</t>
  </si>
  <si>
    <t>Penyemprotan Gandasil B (Buah)</t>
  </si>
  <si>
    <t>Gandasil B</t>
  </si>
  <si>
    <t>Tenaga kerja penyemprotan II</t>
  </si>
  <si>
    <t>Panen borongan (Bandar)</t>
  </si>
  <si>
    <t>Hasil Panen</t>
  </si>
  <si>
    <t>S3-CAISIM</t>
  </si>
  <si>
    <t>-</t>
  </si>
  <si>
    <t>Pembelian Benih</t>
  </si>
  <si>
    <t>Pembelian Benih Jagung</t>
  </si>
  <si>
    <t>Caisim</t>
  </si>
  <si>
    <t>Olah lahan &amp; Penyemaian</t>
  </si>
  <si>
    <t>Tabur benih (100 gram)</t>
  </si>
  <si>
    <t>Pembelian bibit caisim</t>
  </si>
  <si>
    <t>Bibit Caisim</t>
  </si>
  <si>
    <t>0.1</t>
  </si>
  <si>
    <t>Pemindahan benih (2 hari)</t>
  </si>
  <si>
    <t>Tenaga kerja pemupukan</t>
  </si>
  <si>
    <t>Pupuk Phonska (5 kg)</t>
  </si>
  <si>
    <t>Panen Caisim</t>
  </si>
  <si>
    <t>SINGKONG</t>
  </si>
  <si>
    <t>JAGUNG</t>
  </si>
  <si>
    <t>CAISIM</t>
  </si>
  <si>
    <t>TOTAL PENGELUARAN</t>
  </si>
  <si>
    <t>TOTAL PENDAPATAN BERSIH</t>
  </si>
  <si>
    <t>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</si>
</sst>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p&quot;#,##0"/>
  </numFmts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2"/>
      <color rgb="FF1F1F1F"/>
      <name val="Arial"/>
      <family val="2"/>
      <scheme val="minor"/>
    </font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name val="Arial"/>
      <family val="2"/>
      <scheme val="minor"/>
    </font>
    <font>
      <sz val="11"/>
      <color theme="2"/>
      <name val="Arial"/>
      <family val="2"/>
      <scheme val="minor"/>
    </font>
    <font>
      <b/>
      <sz val="11"/>
      <color theme="2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theme="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11" fillId="6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vertical="center" wrapText="1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9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BB8C-D3CF-422A-82B0-18CDCA94A6C7}">
  <dimension ref="C4:P35"/>
  <sheetViews>
    <sheetView topLeftCell="C15" zoomScale="78" zoomScaleNormal="78" workbookViewId="0">
      <selection activeCell="O37" sqref="O37"/>
    </sheetView>
  </sheetViews>
  <sheetFormatPr defaultRowHeight="13.2" x14ac:dyDescent="0.25"/>
  <cols>
    <col min="3" max="3" width="18.21875" customWidth="1"/>
    <col min="4" max="4" width="19.44140625" customWidth="1"/>
    <col min="5" max="5" width="19.6640625" customWidth="1"/>
    <col min="6" max="6" width="23.44140625" customWidth="1"/>
    <col min="7" max="7" width="23.6640625" customWidth="1"/>
    <col min="8" max="8" width="22.5546875" customWidth="1"/>
    <col min="9" max="9" width="43.6640625" customWidth="1"/>
    <col min="10" max="10" width="24.6640625" customWidth="1"/>
    <col min="11" max="11" width="18.77734375" customWidth="1"/>
    <col min="12" max="12" width="11.44140625" customWidth="1"/>
    <col min="13" max="13" width="25.33203125" customWidth="1"/>
    <col min="14" max="14" width="25.44140625" customWidth="1"/>
    <col min="15" max="15" width="19.88671875" customWidth="1"/>
    <col min="16" max="16" width="17.33203125" customWidth="1"/>
  </cols>
  <sheetData>
    <row r="4" spans="3:16" x14ac:dyDescent="0.25">
      <c r="D4" s="1"/>
    </row>
    <row r="5" spans="3:16" x14ac:dyDescent="0.25">
      <c r="D5" s="1"/>
    </row>
    <row r="6" spans="3:16" x14ac:dyDescent="0.25">
      <c r="D6" s="1"/>
    </row>
    <row r="7" spans="3:16" ht="13.8" x14ac:dyDescent="0.25"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0</v>
      </c>
      <c r="L7" s="4" t="s">
        <v>1</v>
      </c>
      <c r="M7" s="4" t="s">
        <v>18</v>
      </c>
      <c r="N7" s="4" t="s">
        <v>19</v>
      </c>
      <c r="O7" s="4" t="s">
        <v>20</v>
      </c>
      <c r="P7" s="4" t="s">
        <v>21</v>
      </c>
    </row>
    <row r="8" spans="3:16" ht="13.8" x14ac:dyDescent="0.25">
      <c r="C8" s="5" t="s">
        <v>22</v>
      </c>
      <c r="D8" s="6">
        <v>45545</v>
      </c>
      <c r="E8" s="5" t="s">
        <v>23</v>
      </c>
      <c r="F8" s="5" t="s">
        <v>9</v>
      </c>
      <c r="G8" s="5" t="s">
        <v>24</v>
      </c>
      <c r="H8" s="5" t="s">
        <v>2</v>
      </c>
      <c r="I8" s="5" t="s">
        <v>25</v>
      </c>
      <c r="J8" s="5" t="s">
        <v>3</v>
      </c>
      <c r="K8" s="5">
        <v>5</v>
      </c>
      <c r="L8" s="5" t="s">
        <v>26</v>
      </c>
      <c r="M8" s="5">
        <v>50000</v>
      </c>
      <c r="N8" s="5">
        <v>250000</v>
      </c>
      <c r="O8" s="5">
        <v>75</v>
      </c>
      <c r="P8" s="5" t="s">
        <v>4</v>
      </c>
    </row>
    <row r="9" spans="3:16" ht="13.8" x14ac:dyDescent="0.25">
      <c r="C9" s="5" t="s">
        <v>22</v>
      </c>
      <c r="D9" s="6">
        <v>45548</v>
      </c>
      <c r="E9" s="5" t="s">
        <v>23</v>
      </c>
      <c r="F9" s="5" t="s">
        <v>9</v>
      </c>
      <c r="G9" s="5" t="s">
        <v>5</v>
      </c>
      <c r="H9" s="5" t="s">
        <v>5</v>
      </c>
      <c r="I9" s="5" t="s">
        <v>30</v>
      </c>
      <c r="J9" s="5" t="s">
        <v>3</v>
      </c>
      <c r="K9" s="5">
        <v>10</v>
      </c>
      <c r="L9" s="5" t="s">
        <v>26</v>
      </c>
      <c r="M9" s="5">
        <v>50000</v>
      </c>
      <c r="N9" s="5">
        <v>500000</v>
      </c>
      <c r="O9" s="5">
        <v>50</v>
      </c>
      <c r="P9" s="5" t="s">
        <v>4</v>
      </c>
    </row>
    <row r="10" spans="3:16" ht="13.8" x14ac:dyDescent="0.25">
      <c r="C10" s="5" t="s">
        <v>22</v>
      </c>
      <c r="D10" s="6">
        <v>45578</v>
      </c>
      <c r="E10" s="5" t="s">
        <v>23</v>
      </c>
      <c r="F10" s="5" t="s">
        <v>9</v>
      </c>
      <c r="G10" s="5" t="s">
        <v>6</v>
      </c>
      <c r="H10" s="5" t="s">
        <v>7</v>
      </c>
      <c r="I10" s="5" t="s">
        <v>27</v>
      </c>
      <c r="J10" s="5" t="s">
        <v>28</v>
      </c>
      <c r="K10" s="5">
        <v>25</v>
      </c>
      <c r="L10" s="5" t="s">
        <v>8</v>
      </c>
      <c r="M10" s="5">
        <v>2500</v>
      </c>
      <c r="N10" s="5">
        <v>62500</v>
      </c>
      <c r="O10" s="5">
        <v>0</v>
      </c>
      <c r="P10" s="5" t="s">
        <v>4</v>
      </c>
    </row>
    <row r="11" spans="3:16" ht="13.8" x14ac:dyDescent="0.25">
      <c r="C11" s="5" t="s">
        <v>22</v>
      </c>
      <c r="D11" s="6">
        <v>45578</v>
      </c>
      <c r="E11" s="5" t="s">
        <v>23</v>
      </c>
      <c r="F11" s="5" t="s">
        <v>9</v>
      </c>
      <c r="G11" s="5" t="s">
        <v>6</v>
      </c>
      <c r="H11" s="5" t="s">
        <v>2</v>
      </c>
      <c r="I11" s="5" t="s">
        <v>31</v>
      </c>
      <c r="J11" s="5" t="s">
        <v>3</v>
      </c>
      <c r="K11" s="5">
        <v>20</v>
      </c>
      <c r="L11" s="5" t="s">
        <v>26</v>
      </c>
      <c r="M11" s="5">
        <v>30000</v>
      </c>
      <c r="N11" s="5">
        <v>600000</v>
      </c>
      <c r="O11" s="5">
        <v>100</v>
      </c>
      <c r="P11" s="5" t="s">
        <v>4</v>
      </c>
    </row>
    <row r="12" spans="3:16" ht="13.8" x14ac:dyDescent="0.25">
      <c r="C12" s="5" t="s">
        <v>22</v>
      </c>
      <c r="D12" s="6">
        <v>45701</v>
      </c>
      <c r="E12" s="5" t="s">
        <v>23</v>
      </c>
      <c r="F12" s="5" t="s">
        <v>9</v>
      </c>
      <c r="G12" s="5" t="s">
        <v>6</v>
      </c>
      <c r="H12" s="5" t="s">
        <v>2</v>
      </c>
      <c r="I12" s="5" t="s">
        <v>32</v>
      </c>
      <c r="J12" s="5" t="s">
        <v>3</v>
      </c>
      <c r="K12" s="5">
        <v>20</v>
      </c>
      <c r="L12" s="5" t="s">
        <v>26</v>
      </c>
      <c r="M12" s="5">
        <v>30000</v>
      </c>
      <c r="N12" s="5">
        <v>600000</v>
      </c>
      <c r="O12" s="5">
        <v>100</v>
      </c>
      <c r="P12" s="5" t="s">
        <v>4</v>
      </c>
    </row>
    <row r="13" spans="3:16" ht="13.8" x14ac:dyDescent="0.25">
      <c r="C13" s="5" t="s">
        <v>22</v>
      </c>
      <c r="D13" s="6">
        <v>45821</v>
      </c>
      <c r="E13" s="5" t="s">
        <v>23</v>
      </c>
      <c r="F13" s="5" t="s">
        <v>9</v>
      </c>
      <c r="G13" s="5" t="s">
        <v>29</v>
      </c>
      <c r="H13" s="5" t="s">
        <v>29</v>
      </c>
      <c r="I13" s="5" t="s">
        <v>33</v>
      </c>
      <c r="J13" s="5" t="s">
        <v>53</v>
      </c>
      <c r="K13" s="5">
        <v>1000</v>
      </c>
      <c r="L13" s="5" t="s">
        <v>8</v>
      </c>
      <c r="M13" s="5">
        <v>2500</v>
      </c>
      <c r="N13" s="5">
        <v>2500000</v>
      </c>
      <c r="O13" s="5">
        <v>0</v>
      </c>
      <c r="P13" s="5" t="s">
        <v>4</v>
      </c>
    </row>
    <row r="14" spans="3:16" ht="13.8" x14ac:dyDescent="0.25"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</row>
    <row r="15" spans="3:16" ht="13.8" x14ac:dyDescent="0.25">
      <c r="C15" s="7" t="s">
        <v>34</v>
      </c>
      <c r="D15" s="7" t="s">
        <v>55</v>
      </c>
      <c r="E15" s="7" t="s">
        <v>55</v>
      </c>
      <c r="F15" s="7" t="s">
        <v>35</v>
      </c>
      <c r="G15" s="7" t="s">
        <v>56</v>
      </c>
      <c r="H15" s="7" t="s">
        <v>24</v>
      </c>
      <c r="I15" s="7" t="s">
        <v>57</v>
      </c>
      <c r="J15" s="7" t="s">
        <v>55</v>
      </c>
      <c r="K15" s="7">
        <v>1</v>
      </c>
      <c r="L15" s="7" t="s">
        <v>8</v>
      </c>
      <c r="M15" s="7">
        <v>85000</v>
      </c>
      <c r="N15" s="7">
        <v>85000</v>
      </c>
      <c r="O15" s="7" t="s">
        <v>55</v>
      </c>
      <c r="P15" s="7" t="s">
        <v>55</v>
      </c>
    </row>
    <row r="16" spans="3:16" ht="13.8" x14ac:dyDescent="0.25">
      <c r="C16" s="2" t="s">
        <v>34</v>
      </c>
      <c r="D16" s="3">
        <v>45828</v>
      </c>
      <c r="E16" s="2" t="s">
        <v>23</v>
      </c>
      <c r="F16" s="2" t="s">
        <v>35</v>
      </c>
      <c r="G16" s="2" t="s">
        <v>24</v>
      </c>
      <c r="H16" s="2" t="s">
        <v>2</v>
      </c>
      <c r="I16" s="2" t="s">
        <v>36</v>
      </c>
      <c r="J16" s="2" t="s">
        <v>3</v>
      </c>
      <c r="K16" s="2">
        <v>4</v>
      </c>
      <c r="L16" s="2" t="s">
        <v>26</v>
      </c>
      <c r="M16" s="2">
        <v>50000</v>
      </c>
      <c r="N16" s="2">
        <v>200000</v>
      </c>
      <c r="O16" s="2">
        <v>20</v>
      </c>
      <c r="P16" s="2" t="s">
        <v>4</v>
      </c>
    </row>
    <row r="17" spans="3:16" ht="13.8" x14ac:dyDescent="0.25">
      <c r="C17" s="2" t="s">
        <v>34</v>
      </c>
      <c r="D17" s="3">
        <v>45830</v>
      </c>
      <c r="E17" s="2" t="s">
        <v>23</v>
      </c>
      <c r="F17" s="2" t="s">
        <v>35</v>
      </c>
      <c r="G17" s="2" t="s">
        <v>5</v>
      </c>
      <c r="H17" s="2" t="s">
        <v>5</v>
      </c>
      <c r="I17" s="2" t="s">
        <v>37</v>
      </c>
      <c r="J17" s="2" t="s">
        <v>3</v>
      </c>
      <c r="K17" s="2">
        <v>2</v>
      </c>
      <c r="L17" s="2" t="s">
        <v>26</v>
      </c>
      <c r="M17" s="2">
        <v>30000</v>
      </c>
      <c r="N17" s="2">
        <v>60000</v>
      </c>
      <c r="O17" s="2">
        <v>10</v>
      </c>
      <c r="P17" s="2" t="s">
        <v>4</v>
      </c>
    </row>
    <row r="18" spans="3:16" ht="13.8" x14ac:dyDescent="0.25">
      <c r="C18" s="2" t="s">
        <v>34</v>
      </c>
      <c r="D18" s="3">
        <v>45840</v>
      </c>
      <c r="E18" s="2" t="s">
        <v>23</v>
      </c>
      <c r="F18" s="2" t="s">
        <v>35</v>
      </c>
      <c r="G18" s="2" t="s">
        <v>6</v>
      </c>
      <c r="H18" s="2" t="s">
        <v>2</v>
      </c>
      <c r="I18" s="2" t="s">
        <v>38</v>
      </c>
      <c r="J18" s="2" t="s">
        <v>3</v>
      </c>
      <c r="K18" s="2">
        <v>2</v>
      </c>
      <c r="L18" s="2" t="s">
        <v>26</v>
      </c>
      <c r="M18" s="2">
        <v>30000</v>
      </c>
      <c r="N18" s="2">
        <v>60000</v>
      </c>
      <c r="O18" s="2">
        <v>10</v>
      </c>
      <c r="P18" s="2" t="s">
        <v>4</v>
      </c>
    </row>
    <row r="19" spans="3:16" ht="13.8" x14ac:dyDescent="0.25">
      <c r="C19" s="2" t="s">
        <v>34</v>
      </c>
      <c r="D19" s="3">
        <v>45841</v>
      </c>
      <c r="E19" s="2" t="s">
        <v>23</v>
      </c>
      <c r="F19" s="2" t="s">
        <v>35</v>
      </c>
      <c r="G19" s="2" t="s">
        <v>6</v>
      </c>
      <c r="H19" s="2" t="s">
        <v>7</v>
      </c>
      <c r="I19" s="2" t="s">
        <v>39</v>
      </c>
      <c r="J19" s="2" t="s">
        <v>28</v>
      </c>
      <c r="K19" s="2">
        <v>25</v>
      </c>
      <c r="L19" s="2" t="s">
        <v>8</v>
      </c>
      <c r="M19" s="2">
        <v>2000</v>
      </c>
      <c r="N19" s="2">
        <v>50000</v>
      </c>
      <c r="O19" s="2">
        <v>0</v>
      </c>
      <c r="P19" s="2" t="s">
        <v>4</v>
      </c>
    </row>
    <row r="20" spans="3:16" ht="13.8" x14ac:dyDescent="0.25">
      <c r="C20" s="2" t="s">
        <v>34</v>
      </c>
      <c r="D20" s="3">
        <v>45841</v>
      </c>
      <c r="E20" s="2" t="s">
        <v>23</v>
      </c>
      <c r="F20" s="2" t="s">
        <v>35</v>
      </c>
      <c r="G20" s="2" t="s">
        <v>6</v>
      </c>
      <c r="H20" s="2" t="s">
        <v>7</v>
      </c>
      <c r="I20" s="2" t="s">
        <v>41</v>
      </c>
      <c r="J20" s="2" t="s">
        <v>3</v>
      </c>
      <c r="K20" s="2">
        <v>2</v>
      </c>
      <c r="L20" s="2" t="s">
        <v>26</v>
      </c>
      <c r="M20" s="2">
        <v>30000</v>
      </c>
      <c r="N20" s="2">
        <v>60000</v>
      </c>
      <c r="O20" s="2">
        <v>10</v>
      </c>
      <c r="P20" s="2" t="s">
        <v>4</v>
      </c>
    </row>
    <row r="21" spans="3:16" ht="13.8" x14ac:dyDescent="0.25">
      <c r="C21" s="2" t="s">
        <v>34</v>
      </c>
      <c r="D21" s="3">
        <v>45856</v>
      </c>
      <c r="E21" s="2" t="s">
        <v>23</v>
      </c>
      <c r="F21" s="2" t="s">
        <v>35</v>
      </c>
      <c r="G21" s="2" t="s">
        <v>6</v>
      </c>
      <c r="H21" s="2" t="s">
        <v>7</v>
      </c>
      <c r="I21" s="2" t="s">
        <v>42</v>
      </c>
      <c r="J21" s="2" t="s">
        <v>28</v>
      </c>
      <c r="K21" s="2">
        <v>25</v>
      </c>
      <c r="L21" s="2" t="s">
        <v>8</v>
      </c>
      <c r="M21" s="2">
        <v>2000</v>
      </c>
      <c r="N21" s="2">
        <v>50000</v>
      </c>
      <c r="O21" s="2">
        <v>0</v>
      </c>
      <c r="P21" s="2" t="s">
        <v>4</v>
      </c>
    </row>
    <row r="22" spans="3:16" ht="13.8" x14ac:dyDescent="0.25">
      <c r="C22" s="2" t="s">
        <v>34</v>
      </c>
      <c r="D22" s="3">
        <v>45856</v>
      </c>
      <c r="E22" s="2" t="s">
        <v>23</v>
      </c>
      <c r="F22" s="2" t="s">
        <v>35</v>
      </c>
      <c r="G22" s="2" t="s">
        <v>6</v>
      </c>
      <c r="H22" s="2" t="s">
        <v>7</v>
      </c>
      <c r="I22" s="2" t="s">
        <v>43</v>
      </c>
      <c r="J22" s="2" t="s">
        <v>3</v>
      </c>
      <c r="K22" s="2">
        <v>2</v>
      </c>
      <c r="L22" s="2" t="s">
        <v>26</v>
      </c>
      <c r="M22" s="2">
        <v>30000</v>
      </c>
      <c r="N22" s="2">
        <v>60000</v>
      </c>
      <c r="O22" s="2">
        <v>10</v>
      </c>
      <c r="P22" s="2" t="s">
        <v>4</v>
      </c>
    </row>
    <row r="23" spans="3:16" ht="13.8" x14ac:dyDescent="0.25">
      <c r="C23" s="2" t="s">
        <v>34</v>
      </c>
      <c r="D23" s="3">
        <v>45861</v>
      </c>
      <c r="E23" s="2" t="s">
        <v>23</v>
      </c>
      <c r="F23" s="2" t="s">
        <v>35</v>
      </c>
      <c r="G23" s="2" t="s">
        <v>6</v>
      </c>
      <c r="H23" s="2" t="s">
        <v>2</v>
      </c>
      <c r="I23" s="2" t="s">
        <v>44</v>
      </c>
      <c r="J23" s="2" t="s">
        <v>45</v>
      </c>
      <c r="K23" s="2" t="s">
        <v>46</v>
      </c>
      <c r="L23" s="2" t="s">
        <v>8</v>
      </c>
      <c r="M23" s="2">
        <v>10000</v>
      </c>
      <c r="N23" s="2">
        <v>10000</v>
      </c>
      <c r="O23" s="2">
        <v>0</v>
      </c>
      <c r="P23" s="2" t="s">
        <v>4</v>
      </c>
    </row>
    <row r="24" spans="3:16" ht="13.8" x14ac:dyDescent="0.25">
      <c r="C24" s="2" t="s">
        <v>34</v>
      </c>
      <c r="D24" s="3">
        <v>45861</v>
      </c>
      <c r="E24" s="2" t="s">
        <v>23</v>
      </c>
      <c r="F24" s="2" t="s">
        <v>35</v>
      </c>
      <c r="G24" s="2" t="s">
        <v>6</v>
      </c>
      <c r="H24" s="2" t="s">
        <v>2</v>
      </c>
      <c r="I24" s="2" t="s">
        <v>47</v>
      </c>
      <c r="J24" s="2" t="s">
        <v>3</v>
      </c>
      <c r="K24" s="2">
        <v>1</v>
      </c>
      <c r="L24" s="2" t="s">
        <v>26</v>
      </c>
      <c r="M24" s="2">
        <v>20000</v>
      </c>
      <c r="N24" s="2">
        <v>20000</v>
      </c>
      <c r="O24" s="2">
        <v>5</v>
      </c>
      <c r="P24" s="2" t="s">
        <v>4</v>
      </c>
    </row>
    <row r="25" spans="3:16" ht="13.8" x14ac:dyDescent="0.25">
      <c r="C25" s="2" t="s">
        <v>34</v>
      </c>
      <c r="D25" s="3">
        <v>45891</v>
      </c>
      <c r="E25" s="2" t="s">
        <v>23</v>
      </c>
      <c r="F25" s="2" t="s">
        <v>35</v>
      </c>
      <c r="G25" s="2" t="s">
        <v>48</v>
      </c>
      <c r="H25" s="2" t="s">
        <v>2</v>
      </c>
      <c r="I25" s="2" t="s">
        <v>49</v>
      </c>
      <c r="J25" s="2" t="s">
        <v>50</v>
      </c>
      <c r="K25" s="2" t="s">
        <v>46</v>
      </c>
      <c r="L25" s="2" t="s">
        <v>8</v>
      </c>
      <c r="M25" s="2">
        <v>10000</v>
      </c>
      <c r="N25" s="2">
        <v>10000</v>
      </c>
      <c r="O25" s="2">
        <v>0</v>
      </c>
      <c r="P25" s="2" t="s">
        <v>4</v>
      </c>
    </row>
    <row r="26" spans="3:16" ht="13.8" x14ac:dyDescent="0.25">
      <c r="C26" s="2" t="s">
        <v>34</v>
      </c>
      <c r="D26" s="3">
        <v>45891</v>
      </c>
      <c r="E26" s="2" t="s">
        <v>23</v>
      </c>
      <c r="F26" s="2" t="s">
        <v>35</v>
      </c>
      <c r="G26" s="2" t="s">
        <v>48</v>
      </c>
      <c r="H26" s="2" t="s">
        <v>2</v>
      </c>
      <c r="I26" s="2" t="s">
        <v>51</v>
      </c>
      <c r="J26" s="2" t="s">
        <v>3</v>
      </c>
      <c r="K26" s="2">
        <v>1</v>
      </c>
      <c r="L26" s="2" t="s">
        <v>26</v>
      </c>
      <c r="M26" s="2">
        <v>20000</v>
      </c>
      <c r="N26" s="2">
        <v>20000</v>
      </c>
      <c r="O26" s="2">
        <v>5</v>
      </c>
      <c r="P26" s="2" t="s">
        <v>4</v>
      </c>
    </row>
    <row r="27" spans="3:16" ht="13.8" x14ac:dyDescent="0.25">
      <c r="C27" s="2" t="s">
        <v>34</v>
      </c>
      <c r="D27" s="3">
        <v>45931</v>
      </c>
      <c r="E27" s="2" t="s">
        <v>23</v>
      </c>
      <c r="F27" s="2" t="s">
        <v>35</v>
      </c>
      <c r="G27" s="2" t="s">
        <v>29</v>
      </c>
      <c r="H27" s="2" t="s">
        <v>29</v>
      </c>
      <c r="I27" s="2" t="s">
        <v>52</v>
      </c>
      <c r="J27" s="2" t="s">
        <v>53</v>
      </c>
      <c r="K27" s="2">
        <v>800</v>
      </c>
      <c r="L27" s="2" t="s">
        <v>8</v>
      </c>
      <c r="M27" s="2">
        <v>2500</v>
      </c>
      <c r="N27" s="2">
        <v>2000000</v>
      </c>
      <c r="O27" s="2">
        <v>0</v>
      </c>
      <c r="P27" s="2" t="s">
        <v>4</v>
      </c>
    </row>
    <row r="28" spans="3:16" x14ac:dyDescent="0.25"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3:16" ht="13.8" x14ac:dyDescent="0.25">
      <c r="C29" s="2" t="s">
        <v>54</v>
      </c>
      <c r="D29" s="3">
        <v>45951</v>
      </c>
      <c r="E29" s="2" t="s">
        <v>23</v>
      </c>
      <c r="F29" s="2" t="s">
        <v>58</v>
      </c>
      <c r="G29" s="2" t="s">
        <v>24</v>
      </c>
      <c r="H29" s="2" t="s">
        <v>2</v>
      </c>
      <c r="I29" s="2" t="s">
        <v>59</v>
      </c>
      <c r="J29" s="2" t="s">
        <v>3</v>
      </c>
      <c r="K29" s="2">
        <v>2</v>
      </c>
      <c r="L29" s="2" t="s">
        <v>26</v>
      </c>
      <c r="M29" s="2">
        <v>50000</v>
      </c>
      <c r="N29" s="2">
        <v>100000</v>
      </c>
      <c r="O29" s="2">
        <v>10</v>
      </c>
      <c r="P29" s="2" t="s">
        <v>4</v>
      </c>
    </row>
    <row r="30" spans="3:16" ht="13.8" x14ac:dyDescent="0.25">
      <c r="C30" s="2" t="s">
        <v>54</v>
      </c>
      <c r="D30" s="3">
        <v>45951</v>
      </c>
      <c r="E30" s="2" t="s">
        <v>23</v>
      </c>
      <c r="F30" s="2" t="s">
        <v>58</v>
      </c>
      <c r="G30" s="2" t="s">
        <v>5</v>
      </c>
      <c r="H30" s="2" t="s">
        <v>5</v>
      </c>
      <c r="I30" s="2" t="s">
        <v>60</v>
      </c>
      <c r="J30" s="2" t="s">
        <v>3</v>
      </c>
      <c r="K30" s="2">
        <v>1</v>
      </c>
      <c r="L30" s="2" t="s">
        <v>26</v>
      </c>
      <c r="M30" s="2">
        <v>20000</v>
      </c>
      <c r="N30" s="2">
        <v>20000</v>
      </c>
      <c r="O30" s="2">
        <v>5</v>
      </c>
      <c r="P30" s="2" t="s">
        <v>4</v>
      </c>
    </row>
    <row r="31" spans="3:16" ht="13.8" x14ac:dyDescent="0.25">
      <c r="C31" s="2" t="s">
        <v>54</v>
      </c>
      <c r="D31" s="3">
        <v>45951</v>
      </c>
      <c r="E31" s="2" t="s">
        <v>23</v>
      </c>
      <c r="F31" s="2" t="s">
        <v>58</v>
      </c>
      <c r="G31" s="2" t="s">
        <v>5</v>
      </c>
      <c r="H31" s="2" t="s">
        <v>5</v>
      </c>
      <c r="I31" s="2" t="s">
        <v>61</v>
      </c>
      <c r="J31" s="2" t="s">
        <v>62</v>
      </c>
      <c r="K31" s="2" t="s">
        <v>63</v>
      </c>
      <c r="L31" s="2" t="s">
        <v>8</v>
      </c>
      <c r="M31" s="2">
        <v>170000</v>
      </c>
      <c r="N31" s="2">
        <v>17000</v>
      </c>
      <c r="O31" s="2">
        <v>0</v>
      </c>
      <c r="P31" s="2" t="s">
        <v>4</v>
      </c>
    </row>
    <row r="32" spans="3:16" ht="13.8" x14ac:dyDescent="0.25">
      <c r="C32" s="2" t="s">
        <v>54</v>
      </c>
      <c r="D32" s="3">
        <v>45961</v>
      </c>
      <c r="E32" s="2" t="s">
        <v>23</v>
      </c>
      <c r="F32" s="2" t="s">
        <v>58</v>
      </c>
      <c r="G32" s="2" t="s">
        <v>5</v>
      </c>
      <c r="H32" s="2" t="s">
        <v>5</v>
      </c>
      <c r="I32" s="2" t="s">
        <v>64</v>
      </c>
      <c r="J32" s="2" t="s">
        <v>3</v>
      </c>
      <c r="K32" s="2">
        <v>4</v>
      </c>
      <c r="L32" s="2" t="s">
        <v>26</v>
      </c>
      <c r="M32" s="2">
        <v>30000</v>
      </c>
      <c r="N32" s="2">
        <v>120000</v>
      </c>
      <c r="O32" s="2">
        <v>20</v>
      </c>
      <c r="P32" s="2" t="s">
        <v>40</v>
      </c>
    </row>
    <row r="33" spans="3:16" ht="13.8" x14ac:dyDescent="0.25">
      <c r="C33" s="2" t="s">
        <v>54</v>
      </c>
      <c r="D33" s="3">
        <v>45968</v>
      </c>
      <c r="E33" s="2" t="s">
        <v>23</v>
      </c>
      <c r="F33" s="2" t="s">
        <v>58</v>
      </c>
      <c r="G33" s="2" t="s">
        <v>6</v>
      </c>
      <c r="H33" s="2" t="s">
        <v>7</v>
      </c>
      <c r="I33" s="2" t="s">
        <v>65</v>
      </c>
      <c r="J33" s="2" t="s">
        <v>3</v>
      </c>
      <c r="K33" s="2">
        <v>2</v>
      </c>
      <c r="L33" s="2" t="s">
        <v>26</v>
      </c>
      <c r="M33" s="2">
        <v>30000</v>
      </c>
      <c r="N33" s="2">
        <v>60000</v>
      </c>
      <c r="O33" s="2">
        <v>10</v>
      </c>
      <c r="P33" s="2" t="s">
        <v>4</v>
      </c>
    </row>
    <row r="34" spans="3:16" ht="13.8" x14ac:dyDescent="0.25">
      <c r="C34" s="2" t="s">
        <v>54</v>
      </c>
      <c r="D34" s="3">
        <v>45968</v>
      </c>
      <c r="E34" s="2" t="s">
        <v>23</v>
      </c>
      <c r="F34" s="2" t="s">
        <v>58</v>
      </c>
      <c r="G34" s="2" t="s">
        <v>6</v>
      </c>
      <c r="H34" s="2" t="s">
        <v>7</v>
      </c>
      <c r="I34" s="2" t="s">
        <v>66</v>
      </c>
      <c r="J34" s="2" t="s">
        <v>28</v>
      </c>
      <c r="K34" s="2">
        <v>5</v>
      </c>
      <c r="L34" s="2" t="s">
        <v>8</v>
      </c>
      <c r="M34" s="2">
        <v>2500</v>
      </c>
      <c r="N34" s="2">
        <v>12500</v>
      </c>
      <c r="O34" s="2">
        <v>0</v>
      </c>
      <c r="P34" s="2" t="s">
        <v>4</v>
      </c>
    </row>
    <row r="35" spans="3:16" ht="13.8" x14ac:dyDescent="0.25">
      <c r="C35" s="2" t="s">
        <v>54</v>
      </c>
      <c r="D35" s="3">
        <v>45995</v>
      </c>
      <c r="E35" s="2" t="s">
        <v>23</v>
      </c>
      <c r="F35" s="2" t="s">
        <v>58</v>
      </c>
      <c r="G35" s="2" t="s">
        <v>29</v>
      </c>
      <c r="H35" s="2" t="s">
        <v>29</v>
      </c>
      <c r="I35" s="2" t="s">
        <v>67</v>
      </c>
      <c r="J35" s="2" t="s">
        <v>53</v>
      </c>
      <c r="K35" s="2">
        <v>200</v>
      </c>
      <c r="L35" s="2" t="s">
        <v>8</v>
      </c>
      <c r="M35" s="2">
        <v>2500</v>
      </c>
      <c r="N35" s="2">
        <v>500000</v>
      </c>
      <c r="O35" s="2">
        <v>0</v>
      </c>
      <c r="P35" s="2" t="s">
        <v>4</v>
      </c>
    </row>
  </sheetData>
  <mergeCells count="2">
    <mergeCell ref="C14:P14"/>
    <mergeCell ref="C28:P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98DC-DC97-4077-8DD7-9A0F718DB26D}">
  <dimension ref="C4:P42"/>
  <sheetViews>
    <sheetView tabSelected="1" zoomScale="57" workbookViewId="0">
      <selection activeCell="L5" sqref="L5"/>
    </sheetView>
  </sheetViews>
  <sheetFormatPr defaultRowHeight="13.2" x14ac:dyDescent="0.25"/>
  <cols>
    <col min="3" max="3" width="18.21875" customWidth="1"/>
    <col min="4" max="4" width="19.44140625" customWidth="1"/>
    <col min="5" max="5" width="19.6640625" customWidth="1"/>
    <col min="6" max="6" width="23.44140625" customWidth="1"/>
    <col min="7" max="7" width="23.6640625" customWidth="1"/>
    <col min="8" max="8" width="22.5546875" customWidth="1"/>
    <col min="9" max="9" width="43.6640625" customWidth="1"/>
    <col min="10" max="10" width="24.6640625" customWidth="1"/>
    <col min="11" max="11" width="18.77734375" customWidth="1"/>
    <col min="12" max="12" width="11.44140625" customWidth="1"/>
    <col min="13" max="13" width="25.33203125" customWidth="1"/>
    <col min="14" max="14" width="25.44140625" customWidth="1"/>
    <col min="15" max="15" width="19.88671875" customWidth="1"/>
    <col min="16" max="16" width="17.33203125" customWidth="1"/>
  </cols>
  <sheetData>
    <row r="4" spans="3:16" x14ac:dyDescent="0.25">
      <c r="D4" s="1"/>
    </row>
    <row r="5" spans="3:16" x14ac:dyDescent="0.25">
      <c r="D5" s="1"/>
    </row>
    <row r="6" spans="3:16" x14ac:dyDescent="0.25">
      <c r="D6" s="1"/>
    </row>
    <row r="7" spans="3:16" ht="15.6" x14ac:dyDescent="0.25">
      <c r="C7" s="23" t="s">
        <v>10</v>
      </c>
      <c r="D7" s="23" t="s">
        <v>11</v>
      </c>
      <c r="E7" s="23" t="s">
        <v>12</v>
      </c>
      <c r="F7" s="23" t="s">
        <v>13</v>
      </c>
      <c r="G7" s="23" t="s">
        <v>14</v>
      </c>
      <c r="H7" s="23" t="s">
        <v>15</v>
      </c>
      <c r="I7" s="23" t="s">
        <v>16</v>
      </c>
      <c r="J7" s="23" t="s">
        <v>17</v>
      </c>
      <c r="K7" s="23" t="s">
        <v>0</v>
      </c>
      <c r="L7" s="23" t="s">
        <v>1</v>
      </c>
      <c r="M7" s="23" t="s">
        <v>18</v>
      </c>
      <c r="N7" s="23" t="s">
        <v>19</v>
      </c>
      <c r="O7" s="23" t="s">
        <v>20</v>
      </c>
      <c r="P7" s="23" t="s">
        <v>21</v>
      </c>
    </row>
    <row r="8" spans="3:16" ht="13.8" x14ac:dyDescent="0.25">
      <c r="C8" s="31" t="s">
        <v>68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3:16" ht="13.8" x14ac:dyDescent="0.25">
      <c r="C9" s="5" t="s">
        <v>22</v>
      </c>
      <c r="D9" s="6">
        <v>45545</v>
      </c>
      <c r="E9" s="5" t="s">
        <v>23</v>
      </c>
      <c r="F9" s="5" t="s">
        <v>9</v>
      </c>
      <c r="G9" s="5" t="s">
        <v>24</v>
      </c>
      <c r="H9" s="5" t="s">
        <v>2</v>
      </c>
      <c r="I9" s="5" t="s">
        <v>25</v>
      </c>
      <c r="J9" s="5" t="s">
        <v>3</v>
      </c>
      <c r="K9" s="8">
        <v>5</v>
      </c>
      <c r="L9" s="5" t="s">
        <v>26</v>
      </c>
      <c r="M9" s="9">
        <v>50000</v>
      </c>
      <c r="N9" s="9">
        <f>-K9*M9</f>
        <v>-250000</v>
      </c>
      <c r="O9" s="8">
        <v>75</v>
      </c>
      <c r="P9" s="5" t="s">
        <v>4</v>
      </c>
    </row>
    <row r="10" spans="3:16" ht="13.8" x14ac:dyDescent="0.25">
      <c r="C10" s="5" t="s">
        <v>22</v>
      </c>
      <c r="D10" s="6">
        <v>45548</v>
      </c>
      <c r="E10" s="5" t="s">
        <v>23</v>
      </c>
      <c r="F10" s="5" t="s">
        <v>9</v>
      </c>
      <c r="G10" s="5" t="s">
        <v>5</v>
      </c>
      <c r="H10" s="5" t="s">
        <v>5</v>
      </c>
      <c r="I10" s="5" t="s">
        <v>30</v>
      </c>
      <c r="J10" s="5" t="s">
        <v>3</v>
      </c>
      <c r="K10" s="8">
        <v>10</v>
      </c>
      <c r="L10" s="5" t="s">
        <v>26</v>
      </c>
      <c r="M10" s="9">
        <v>50000</v>
      </c>
      <c r="N10" s="9">
        <f t="shared" ref="N10:N13" si="0">-K10*M10</f>
        <v>-500000</v>
      </c>
      <c r="O10" s="8" t="s">
        <v>73</v>
      </c>
      <c r="P10" s="5" t="s">
        <v>4</v>
      </c>
    </row>
    <row r="11" spans="3:16" ht="13.8" x14ac:dyDescent="0.25">
      <c r="C11" s="5" t="s">
        <v>22</v>
      </c>
      <c r="D11" s="6">
        <v>45578</v>
      </c>
      <c r="E11" s="5" t="s">
        <v>23</v>
      </c>
      <c r="F11" s="5" t="s">
        <v>9</v>
      </c>
      <c r="G11" s="5" t="s">
        <v>6</v>
      </c>
      <c r="H11" s="5" t="s">
        <v>7</v>
      </c>
      <c r="I11" s="5" t="s">
        <v>27</v>
      </c>
      <c r="J11" s="5" t="s">
        <v>28</v>
      </c>
      <c r="K11" s="8">
        <v>25</v>
      </c>
      <c r="L11" s="5" t="s">
        <v>8</v>
      </c>
      <c r="M11" s="9">
        <v>2500</v>
      </c>
      <c r="N11" s="9">
        <f t="shared" si="0"/>
        <v>-62500</v>
      </c>
      <c r="O11" s="8">
        <v>0</v>
      </c>
      <c r="P11" s="5" t="s">
        <v>4</v>
      </c>
    </row>
    <row r="12" spans="3:16" ht="13.8" x14ac:dyDescent="0.25">
      <c r="C12" s="5" t="s">
        <v>22</v>
      </c>
      <c r="D12" s="6">
        <v>45578</v>
      </c>
      <c r="E12" s="5" t="s">
        <v>23</v>
      </c>
      <c r="F12" s="5" t="s">
        <v>9</v>
      </c>
      <c r="G12" s="5" t="s">
        <v>6</v>
      </c>
      <c r="H12" s="5" t="s">
        <v>2</v>
      </c>
      <c r="I12" s="5" t="s">
        <v>31</v>
      </c>
      <c r="J12" s="5" t="s">
        <v>3</v>
      </c>
      <c r="K12" s="8">
        <v>20</v>
      </c>
      <c r="L12" s="5" t="s">
        <v>26</v>
      </c>
      <c r="M12" s="9">
        <v>30000</v>
      </c>
      <c r="N12" s="9">
        <f t="shared" si="0"/>
        <v>-600000</v>
      </c>
      <c r="O12" s="8">
        <v>100</v>
      </c>
      <c r="P12" s="5" t="s">
        <v>4</v>
      </c>
    </row>
    <row r="13" spans="3:16" ht="13.8" x14ac:dyDescent="0.25">
      <c r="C13" s="5" t="s">
        <v>22</v>
      </c>
      <c r="D13" s="6">
        <v>45701</v>
      </c>
      <c r="E13" s="5" t="s">
        <v>23</v>
      </c>
      <c r="F13" s="5" t="s">
        <v>9</v>
      </c>
      <c r="G13" s="5" t="s">
        <v>6</v>
      </c>
      <c r="H13" s="5" t="s">
        <v>2</v>
      </c>
      <c r="I13" s="5" t="s">
        <v>32</v>
      </c>
      <c r="J13" s="5" t="s">
        <v>3</v>
      </c>
      <c r="K13" s="8">
        <v>20</v>
      </c>
      <c r="L13" s="5" t="s">
        <v>26</v>
      </c>
      <c r="M13" s="9">
        <v>30000</v>
      </c>
      <c r="N13" s="9">
        <f t="shared" si="0"/>
        <v>-600000</v>
      </c>
      <c r="O13" s="8">
        <v>100</v>
      </c>
      <c r="P13" s="5" t="s">
        <v>4</v>
      </c>
    </row>
    <row r="14" spans="3:16" ht="13.8" x14ac:dyDescent="0.25">
      <c r="C14" s="28" t="s">
        <v>71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14">
        <f>SUM(N9:N13)</f>
        <v>-2012500</v>
      </c>
      <c r="O14" s="8"/>
      <c r="P14" s="5"/>
    </row>
    <row r="15" spans="3:16" ht="13.8" customHeight="1" x14ac:dyDescent="0.25">
      <c r="C15" s="5" t="s">
        <v>22</v>
      </c>
      <c r="D15" s="6">
        <v>45821</v>
      </c>
      <c r="E15" s="5" t="s">
        <v>23</v>
      </c>
      <c r="F15" s="5" t="s">
        <v>9</v>
      </c>
      <c r="G15" s="5" t="s">
        <v>29</v>
      </c>
      <c r="H15" s="5" t="s">
        <v>29</v>
      </c>
      <c r="I15" s="5" t="s">
        <v>33</v>
      </c>
      <c r="J15" s="5" t="s">
        <v>53</v>
      </c>
      <c r="K15" s="8">
        <v>1000</v>
      </c>
      <c r="L15" s="5" t="s">
        <v>8</v>
      </c>
      <c r="M15" s="9">
        <v>2500</v>
      </c>
      <c r="N15" s="9">
        <f>K15*M15</f>
        <v>2500000</v>
      </c>
      <c r="O15" s="8">
        <v>0</v>
      </c>
      <c r="P15" s="5" t="s">
        <v>4</v>
      </c>
    </row>
    <row r="16" spans="3:16" ht="13.8" x14ac:dyDescent="0.25">
      <c r="C16" s="35" t="s">
        <v>72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11">
        <f>SUM(N14:N15)</f>
        <v>487500</v>
      </c>
      <c r="O16" s="10"/>
      <c r="P16" s="10"/>
    </row>
    <row r="17" spans="3:16" ht="13.8" x14ac:dyDescent="0.25">
      <c r="C17" s="31" t="s">
        <v>69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3:16" ht="13.8" x14ac:dyDescent="0.25">
      <c r="C18" s="7" t="s">
        <v>34</v>
      </c>
      <c r="D18" s="7" t="s">
        <v>55</v>
      </c>
      <c r="E18" s="7" t="s">
        <v>55</v>
      </c>
      <c r="F18" s="7" t="s">
        <v>35</v>
      </c>
      <c r="G18" s="7" t="s">
        <v>56</v>
      </c>
      <c r="H18" s="7" t="s">
        <v>24</v>
      </c>
      <c r="I18" s="7" t="s">
        <v>57</v>
      </c>
      <c r="J18" s="7" t="s">
        <v>55</v>
      </c>
      <c r="K18" s="16">
        <v>1</v>
      </c>
      <c r="L18" s="7" t="s">
        <v>8</v>
      </c>
      <c r="M18" s="12">
        <v>85000</v>
      </c>
      <c r="N18" s="12">
        <f>-K18*M18</f>
        <v>-85000</v>
      </c>
      <c r="O18" s="7" t="s">
        <v>55</v>
      </c>
      <c r="P18" s="7" t="s">
        <v>55</v>
      </c>
    </row>
    <row r="19" spans="3:16" ht="13.8" x14ac:dyDescent="0.25">
      <c r="C19" s="2" t="s">
        <v>34</v>
      </c>
      <c r="D19" s="3">
        <v>45828</v>
      </c>
      <c r="E19" s="2" t="s">
        <v>23</v>
      </c>
      <c r="F19" s="2" t="s">
        <v>35</v>
      </c>
      <c r="G19" s="2" t="s">
        <v>24</v>
      </c>
      <c r="H19" s="2" t="s">
        <v>2</v>
      </c>
      <c r="I19" s="2" t="s">
        <v>36</v>
      </c>
      <c r="J19" s="2" t="s">
        <v>3</v>
      </c>
      <c r="K19" s="17">
        <v>4</v>
      </c>
      <c r="L19" s="2" t="s">
        <v>26</v>
      </c>
      <c r="M19" s="13">
        <v>50000</v>
      </c>
      <c r="N19" s="12">
        <f t="shared" ref="N19:N29" si="1">-K19*M19</f>
        <v>-200000</v>
      </c>
      <c r="O19" s="2">
        <v>20</v>
      </c>
      <c r="P19" s="2" t="s">
        <v>4</v>
      </c>
    </row>
    <row r="20" spans="3:16" ht="13.8" x14ac:dyDescent="0.25">
      <c r="C20" s="2" t="s">
        <v>34</v>
      </c>
      <c r="D20" s="3">
        <v>45830</v>
      </c>
      <c r="E20" s="2" t="s">
        <v>23</v>
      </c>
      <c r="F20" s="2" t="s">
        <v>35</v>
      </c>
      <c r="G20" s="2" t="s">
        <v>5</v>
      </c>
      <c r="H20" s="2" t="s">
        <v>5</v>
      </c>
      <c r="I20" s="2" t="s">
        <v>37</v>
      </c>
      <c r="J20" s="2" t="s">
        <v>3</v>
      </c>
      <c r="K20" s="17">
        <v>2</v>
      </c>
      <c r="L20" s="2" t="s">
        <v>26</v>
      </c>
      <c r="M20" s="13">
        <v>30000</v>
      </c>
      <c r="N20" s="12">
        <f t="shared" si="1"/>
        <v>-60000</v>
      </c>
      <c r="O20" s="2">
        <v>10</v>
      </c>
      <c r="P20" s="2" t="s">
        <v>4</v>
      </c>
    </row>
    <row r="21" spans="3:16" ht="13.8" x14ac:dyDescent="0.25">
      <c r="C21" s="2" t="s">
        <v>34</v>
      </c>
      <c r="D21" s="3">
        <v>45840</v>
      </c>
      <c r="E21" s="2" t="s">
        <v>23</v>
      </c>
      <c r="F21" s="2" t="s">
        <v>35</v>
      </c>
      <c r="G21" s="2" t="s">
        <v>6</v>
      </c>
      <c r="H21" s="2" t="s">
        <v>2</v>
      </c>
      <c r="I21" s="2" t="s">
        <v>38</v>
      </c>
      <c r="J21" s="2" t="s">
        <v>3</v>
      </c>
      <c r="K21" s="17">
        <v>2</v>
      </c>
      <c r="L21" s="2" t="s">
        <v>26</v>
      </c>
      <c r="M21" s="13">
        <v>30000</v>
      </c>
      <c r="N21" s="12">
        <f t="shared" si="1"/>
        <v>-60000</v>
      </c>
      <c r="O21" s="2">
        <v>10</v>
      </c>
      <c r="P21" s="2" t="s">
        <v>4</v>
      </c>
    </row>
    <row r="22" spans="3:16" ht="13.8" x14ac:dyDescent="0.25">
      <c r="C22" s="2" t="s">
        <v>34</v>
      </c>
      <c r="D22" s="3">
        <v>45841</v>
      </c>
      <c r="E22" s="2" t="s">
        <v>23</v>
      </c>
      <c r="F22" s="2" t="s">
        <v>35</v>
      </c>
      <c r="G22" s="2" t="s">
        <v>6</v>
      </c>
      <c r="H22" s="2" t="s">
        <v>7</v>
      </c>
      <c r="I22" s="2" t="s">
        <v>39</v>
      </c>
      <c r="J22" s="2" t="s">
        <v>28</v>
      </c>
      <c r="K22" s="17">
        <v>25</v>
      </c>
      <c r="L22" s="2" t="s">
        <v>8</v>
      </c>
      <c r="M22" s="13">
        <v>2000</v>
      </c>
      <c r="N22" s="12">
        <f t="shared" si="1"/>
        <v>-50000</v>
      </c>
      <c r="O22" s="2">
        <v>0</v>
      </c>
      <c r="P22" s="2" t="s">
        <v>4</v>
      </c>
    </row>
    <row r="23" spans="3:16" ht="13.8" x14ac:dyDescent="0.25">
      <c r="C23" s="2" t="s">
        <v>34</v>
      </c>
      <c r="D23" s="3">
        <v>45841</v>
      </c>
      <c r="E23" s="2" t="s">
        <v>23</v>
      </c>
      <c r="F23" s="2" t="s">
        <v>35</v>
      </c>
      <c r="G23" s="2" t="s">
        <v>6</v>
      </c>
      <c r="H23" s="2" t="s">
        <v>7</v>
      </c>
      <c r="I23" s="2" t="s">
        <v>41</v>
      </c>
      <c r="J23" s="2" t="s">
        <v>3</v>
      </c>
      <c r="K23" s="17">
        <v>2</v>
      </c>
      <c r="L23" s="2" t="s">
        <v>26</v>
      </c>
      <c r="M23" s="13">
        <v>30000</v>
      </c>
      <c r="N23" s="12">
        <f t="shared" si="1"/>
        <v>-60000</v>
      </c>
      <c r="O23" s="2">
        <v>10</v>
      </c>
      <c r="P23" s="2" t="s">
        <v>4</v>
      </c>
    </row>
    <row r="24" spans="3:16" ht="13.8" x14ac:dyDescent="0.25">
      <c r="C24" s="2" t="s">
        <v>34</v>
      </c>
      <c r="D24" s="3">
        <v>45856</v>
      </c>
      <c r="E24" s="2" t="s">
        <v>23</v>
      </c>
      <c r="F24" s="2" t="s">
        <v>35</v>
      </c>
      <c r="G24" s="2" t="s">
        <v>6</v>
      </c>
      <c r="H24" s="2" t="s">
        <v>7</v>
      </c>
      <c r="I24" s="2" t="s">
        <v>42</v>
      </c>
      <c r="J24" s="2" t="s">
        <v>28</v>
      </c>
      <c r="K24" s="17">
        <v>25</v>
      </c>
      <c r="L24" s="2" t="s">
        <v>8</v>
      </c>
      <c r="M24" s="13">
        <v>2000</v>
      </c>
      <c r="N24" s="12">
        <f t="shared" si="1"/>
        <v>-50000</v>
      </c>
      <c r="O24" s="2">
        <v>0</v>
      </c>
      <c r="P24" s="2" t="s">
        <v>4</v>
      </c>
    </row>
    <row r="25" spans="3:16" ht="13.8" x14ac:dyDescent="0.25">
      <c r="C25" s="2" t="s">
        <v>34</v>
      </c>
      <c r="D25" s="3">
        <v>45856</v>
      </c>
      <c r="E25" s="2" t="s">
        <v>23</v>
      </c>
      <c r="F25" s="2" t="s">
        <v>35</v>
      </c>
      <c r="G25" s="2" t="s">
        <v>6</v>
      </c>
      <c r="H25" s="2" t="s">
        <v>7</v>
      </c>
      <c r="I25" s="2" t="s">
        <v>43</v>
      </c>
      <c r="J25" s="2" t="s">
        <v>3</v>
      </c>
      <c r="K25" s="17">
        <v>2</v>
      </c>
      <c r="L25" s="2" t="s">
        <v>26</v>
      </c>
      <c r="M25" s="13">
        <v>30000</v>
      </c>
      <c r="N25" s="12">
        <f t="shared" si="1"/>
        <v>-60000</v>
      </c>
      <c r="O25" s="2">
        <v>10</v>
      </c>
      <c r="P25" s="2" t="s">
        <v>4</v>
      </c>
    </row>
    <row r="26" spans="3:16" ht="13.8" x14ac:dyDescent="0.25">
      <c r="C26" s="2" t="s">
        <v>34</v>
      </c>
      <c r="D26" s="3">
        <v>45861</v>
      </c>
      <c r="E26" s="2" t="s">
        <v>23</v>
      </c>
      <c r="F26" s="2" t="s">
        <v>35</v>
      </c>
      <c r="G26" s="2" t="s">
        <v>6</v>
      </c>
      <c r="H26" s="2" t="s">
        <v>2</v>
      </c>
      <c r="I26" s="2" t="s">
        <v>44</v>
      </c>
      <c r="J26" s="2" t="s">
        <v>45</v>
      </c>
      <c r="K26" s="19">
        <v>0.25</v>
      </c>
      <c r="L26" s="2" t="s">
        <v>8</v>
      </c>
      <c r="M26" s="13">
        <v>40000</v>
      </c>
      <c r="N26" s="12">
        <f>-K26*M26</f>
        <v>-10000</v>
      </c>
      <c r="O26" s="2">
        <v>0</v>
      </c>
      <c r="P26" s="2" t="s">
        <v>4</v>
      </c>
    </row>
    <row r="27" spans="3:16" ht="13.8" x14ac:dyDescent="0.25">
      <c r="C27" s="2" t="s">
        <v>34</v>
      </c>
      <c r="D27" s="3">
        <v>45861</v>
      </c>
      <c r="E27" s="2" t="s">
        <v>23</v>
      </c>
      <c r="F27" s="2" t="s">
        <v>35</v>
      </c>
      <c r="G27" s="2" t="s">
        <v>6</v>
      </c>
      <c r="H27" s="2" t="s">
        <v>2</v>
      </c>
      <c r="I27" s="2" t="s">
        <v>47</v>
      </c>
      <c r="J27" s="2" t="s">
        <v>3</v>
      </c>
      <c r="K27" s="17">
        <v>1</v>
      </c>
      <c r="L27" s="2" t="s">
        <v>26</v>
      </c>
      <c r="M27" s="13">
        <v>20000</v>
      </c>
      <c r="N27" s="12">
        <f t="shared" si="1"/>
        <v>-20000</v>
      </c>
      <c r="O27" s="2">
        <v>5</v>
      </c>
      <c r="P27" s="2" t="s">
        <v>4</v>
      </c>
    </row>
    <row r="28" spans="3:16" ht="13.8" x14ac:dyDescent="0.25">
      <c r="C28" s="2" t="s">
        <v>34</v>
      </c>
      <c r="D28" s="3">
        <v>45891</v>
      </c>
      <c r="E28" s="2" t="s">
        <v>23</v>
      </c>
      <c r="F28" s="2" t="s">
        <v>35</v>
      </c>
      <c r="G28" s="2" t="s">
        <v>48</v>
      </c>
      <c r="H28" s="2" t="s">
        <v>2</v>
      </c>
      <c r="I28" s="2" t="s">
        <v>49</v>
      </c>
      <c r="J28" s="2" t="s">
        <v>50</v>
      </c>
      <c r="K28" s="19">
        <v>0.25</v>
      </c>
      <c r="L28" s="2" t="s">
        <v>8</v>
      </c>
      <c r="M28" s="13">
        <v>40000</v>
      </c>
      <c r="N28" s="12">
        <f>-K28*M28</f>
        <v>-10000</v>
      </c>
      <c r="O28" s="2">
        <v>0</v>
      </c>
      <c r="P28" s="2" t="s">
        <v>4</v>
      </c>
    </row>
    <row r="29" spans="3:16" ht="13.8" x14ac:dyDescent="0.25">
      <c r="C29" s="2" t="s">
        <v>34</v>
      </c>
      <c r="D29" s="3">
        <v>45891</v>
      </c>
      <c r="E29" s="2" t="s">
        <v>23</v>
      </c>
      <c r="F29" s="2" t="s">
        <v>35</v>
      </c>
      <c r="G29" s="2" t="s">
        <v>48</v>
      </c>
      <c r="H29" s="2" t="s">
        <v>2</v>
      </c>
      <c r="I29" s="2" t="s">
        <v>51</v>
      </c>
      <c r="J29" s="2" t="s">
        <v>3</v>
      </c>
      <c r="K29" s="17">
        <v>1</v>
      </c>
      <c r="L29" s="2" t="s">
        <v>26</v>
      </c>
      <c r="M29" s="13">
        <v>20000</v>
      </c>
      <c r="N29" s="12">
        <f t="shared" si="1"/>
        <v>-20000</v>
      </c>
      <c r="O29" s="2">
        <v>5</v>
      </c>
      <c r="P29" s="2" t="s">
        <v>4</v>
      </c>
    </row>
    <row r="30" spans="3:16" ht="13.8" x14ac:dyDescent="0.25">
      <c r="C30" s="28" t="s">
        <v>71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14">
        <f>SUM(N18:N29)</f>
        <v>-685000</v>
      </c>
      <c r="O30" s="2"/>
      <c r="P30" s="2"/>
    </row>
    <row r="31" spans="3:16" ht="13.8" x14ac:dyDescent="0.25">
      <c r="C31" s="2" t="s">
        <v>34</v>
      </c>
      <c r="D31" s="3">
        <v>45931</v>
      </c>
      <c r="E31" s="2" t="s">
        <v>23</v>
      </c>
      <c r="F31" s="2" t="s">
        <v>35</v>
      </c>
      <c r="G31" s="2" t="s">
        <v>29</v>
      </c>
      <c r="H31" s="2" t="s">
        <v>29</v>
      </c>
      <c r="I31" s="2" t="s">
        <v>52</v>
      </c>
      <c r="J31" s="2" t="s">
        <v>53</v>
      </c>
      <c r="K31" s="2">
        <v>800</v>
      </c>
      <c r="L31" s="2" t="s">
        <v>8</v>
      </c>
      <c r="M31" s="13">
        <v>2500</v>
      </c>
      <c r="N31" s="13">
        <v>2000000</v>
      </c>
      <c r="O31" s="2">
        <v>0</v>
      </c>
      <c r="P31" s="2" t="s">
        <v>4</v>
      </c>
    </row>
    <row r="32" spans="3:16" ht="13.8" x14ac:dyDescent="0.25">
      <c r="C32" s="29" t="s">
        <v>72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15">
        <f>SUM(N30:N31)</f>
        <v>1315000</v>
      </c>
      <c r="O32" s="2"/>
      <c r="P32" s="2"/>
    </row>
    <row r="33" spans="3:16" ht="13.8" x14ac:dyDescent="0.25">
      <c r="C33" s="33" t="s">
        <v>70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3:16" ht="13.8" x14ac:dyDescent="0.25">
      <c r="C34" s="2" t="s">
        <v>54</v>
      </c>
      <c r="D34" s="3">
        <v>45951</v>
      </c>
      <c r="E34" s="2" t="s">
        <v>23</v>
      </c>
      <c r="F34" s="2" t="s">
        <v>58</v>
      </c>
      <c r="G34" s="2" t="s">
        <v>5</v>
      </c>
      <c r="H34" s="2" t="s">
        <v>5</v>
      </c>
      <c r="I34" s="2" t="s">
        <v>61</v>
      </c>
      <c r="J34" s="2" t="s">
        <v>62</v>
      </c>
      <c r="K34" s="20">
        <v>0.1</v>
      </c>
      <c r="L34" s="2" t="s">
        <v>8</v>
      </c>
      <c r="M34" s="13">
        <v>170000</v>
      </c>
      <c r="N34" s="13">
        <f>-K34*M34</f>
        <v>-17000</v>
      </c>
      <c r="O34" s="17">
        <v>0</v>
      </c>
      <c r="P34" s="2" t="s">
        <v>4</v>
      </c>
    </row>
    <row r="35" spans="3:16" ht="13.8" x14ac:dyDescent="0.25">
      <c r="C35" s="2" t="s">
        <v>54</v>
      </c>
      <c r="D35" s="3">
        <v>45951</v>
      </c>
      <c r="E35" s="2" t="s">
        <v>23</v>
      </c>
      <c r="F35" s="2" t="s">
        <v>58</v>
      </c>
      <c r="G35" s="2" t="s">
        <v>24</v>
      </c>
      <c r="H35" s="2" t="s">
        <v>2</v>
      </c>
      <c r="I35" s="2" t="s">
        <v>59</v>
      </c>
      <c r="J35" s="2" t="s">
        <v>3</v>
      </c>
      <c r="K35" s="2">
        <v>2</v>
      </c>
      <c r="L35" s="2" t="s">
        <v>26</v>
      </c>
      <c r="M35" s="13">
        <v>50000</v>
      </c>
      <c r="N35" s="13">
        <f>-K35*M35</f>
        <v>-100000</v>
      </c>
      <c r="O35" s="17">
        <v>10</v>
      </c>
      <c r="P35" s="2" t="s">
        <v>4</v>
      </c>
    </row>
    <row r="36" spans="3:16" ht="13.8" x14ac:dyDescent="0.25">
      <c r="C36" s="2" t="s">
        <v>54</v>
      </c>
      <c r="D36" s="3">
        <v>45951</v>
      </c>
      <c r="E36" s="2" t="s">
        <v>23</v>
      </c>
      <c r="F36" s="2" t="s">
        <v>58</v>
      </c>
      <c r="G36" s="2" t="s">
        <v>5</v>
      </c>
      <c r="H36" s="2" t="s">
        <v>5</v>
      </c>
      <c r="I36" s="2" t="s">
        <v>60</v>
      </c>
      <c r="J36" s="2" t="s">
        <v>3</v>
      </c>
      <c r="K36" s="2">
        <v>1</v>
      </c>
      <c r="L36" s="2" t="s">
        <v>26</v>
      </c>
      <c r="M36" s="13">
        <v>20000</v>
      </c>
      <c r="N36" s="13">
        <f t="shared" ref="N36:N39" si="2">-K36*M36</f>
        <v>-20000</v>
      </c>
      <c r="O36" s="17">
        <v>5</v>
      </c>
      <c r="P36" s="2" t="s">
        <v>4</v>
      </c>
    </row>
    <row r="37" spans="3:16" ht="13.8" x14ac:dyDescent="0.25">
      <c r="C37" s="2" t="s">
        <v>54</v>
      </c>
      <c r="D37" s="3">
        <v>45961</v>
      </c>
      <c r="E37" s="2" t="s">
        <v>23</v>
      </c>
      <c r="F37" s="2" t="s">
        <v>58</v>
      </c>
      <c r="G37" s="2" t="s">
        <v>5</v>
      </c>
      <c r="H37" s="2" t="s">
        <v>5</v>
      </c>
      <c r="I37" s="2" t="s">
        <v>64</v>
      </c>
      <c r="J37" s="2" t="s">
        <v>3</v>
      </c>
      <c r="K37" s="2">
        <v>4</v>
      </c>
      <c r="L37" s="2" t="s">
        <v>26</v>
      </c>
      <c r="M37" s="13">
        <v>30000</v>
      </c>
      <c r="N37" s="13">
        <f t="shared" si="2"/>
        <v>-120000</v>
      </c>
      <c r="O37" s="17">
        <v>20</v>
      </c>
      <c r="P37" s="2" t="s">
        <v>40</v>
      </c>
    </row>
    <row r="38" spans="3:16" ht="13.8" x14ac:dyDescent="0.25">
      <c r="C38" s="2" t="s">
        <v>54</v>
      </c>
      <c r="D38" s="3">
        <v>45968</v>
      </c>
      <c r="E38" s="2" t="s">
        <v>23</v>
      </c>
      <c r="F38" s="2" t="s">
        <v>58</v>
      </c>
      <c r="G38" s="2" t="s">
        <v>6</v>
      </c>
      <c r="H38" s="2" t="s">
        <v>7</v>
      </c>
      <c r="I38" s="2" t="s">
        <v>65</v>
      </c>
      <c r="J38" s="2" t="s">
        <v>3</v>
      </c>
      <c r="K38" s="2">
        <v>2</v>
      </c>
      <c r="L38" s="2" t="s">
        <v>26</v>
      </c>
      <c r="M38" s="13">
        <v>30000</v>
      </c>
      <c r="N38" s="13">
        <f t="shared" si="2"/>
        <v>-60000</v>
      </c>
      <c r="O38" s="17">
        <v>10</v>
      </c>
      <c r="P38" s="2" t="s">
        <v>4</v>
      </c>
    </row>
    <row r="39" spans="3:16" ht="13.8" x14ac:dyDescent="0.25">
      <c r="C39" s="2" t="s">
        <v>54</v>
      </c>
      <c r="D39" s="3">
        <v>45968</v>
      </c>
      <c r="E39" s="2" t="s">
        <v>23</v>
      </c>
      <c r="F39" s="2" t="s">
        <v>58</v>
      </c>
      <c r="G39" s="2" t="s">
        <v>6</v>
      </c>
      <c r="H39" s="2" t="s">
        <v>7</v>
      </c>
      <c r="I39" s="2" t="s">
        <v>66</v>
      </c>
      <c r="J39" s="2" t="s">
        <v>28</v>
      </c>
      <c r="K39" s="2">
        <v>5</v>
      </c>
      <c r="L39" s="2" t="s">
        <v>8</v>
      </c>
      <c r="M39" s="13">
        <v>2500</v>
      </c>
      <c r="N39" s="13">
        <f t="shared" si="2"/>
        <v>-12500</v>
      </c>
      <c r="O39" s="17">
        <v>0</v>
      </c>
      <c r="P39" s="2" t="s">
        <v>4</v>
      </c>
    </row>
    <row r="40" spans="3:16" ht="13.8" customHeight="1" x14ac:dyDescent="0.25">
      <c r="C40" s="28" t="s">
        <v>71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14">
        <f>SUM(N34:N39)</f>
        <v>-329500</v>
      </c>
      <c r="O40" s="18"/>
      <c r="P40" s="21"/>
    </row>
    <row r="41" spans="3:16" ht="13.8" x14ac:dyDescent="0.25">
      <c r="C41" s="2" t="s">
        <v>54</v>
      </c>
      <c r="D41" s="3">
        <v>45995</v>
      </c>
      <c r="E41" s="2" t="s">
        <v>23</v>
      </c>
      <c r="F41" s="2" t="s">
        <v>58</v>
      </c>
      <c r="G41" s="2" t="s">
        <v>29</v>
      </c>
      <c r="H41" s="2" t="s">
        <v>29</v>
      </c>
      <c r="I41" s="2" t="s">
        <v>67</v>
      </c>
      <c r="J41" s="2" t="s">
        <v>53</v>
      </c>
      <c r="K41" s="2">
        <v>200</v>
      </c>
      <c r="L41" s="2" t="s">
        <v>8</v>
      </c>
      <c r="M41" s="13">
        <v>2500</v>
      </c>
      <c r="N41" s="13">
        <f>K41*M41</f>
        <v>500000</v>
      </c>
      <c r="O41" s="17">
        <v>0</v>
      </c>
      <c r="P41" s="2" t="s">
        <v>4</v>
      </c>
    </row>
    <row r="42" spans="3:16" ht="13.8" x14ac:dyDescent="0.25">
      <c r="C42" s="29" t="s">
        <v>72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2">
        <f>SUM(N40:N41)</f>
        <v>170500</v>
      </c>
      <c r="O42" s="10"/>
      <c r="P42" s="10"/>
    </row>
  </sheetData>
  <mergeCells count="9">
    <mergeCell ref="C8:P8"/>
    <mergeCell ref="C30:M30"/>
    <mergeCell ref="C32:M32"/>
    <mergeCell ref="C40:M40"/>
    <mergeCell ref="C42:M42"/>
    <mergeCell ref="C17:P17"/>
    <mergeCell ref="C33:P33"/>
    <mergeCell ref="C14:M14"/>
    <mergeCell ref="C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Supyan Sauri</dc:creator>
  <cp:lastModifiedBy>Supyan Sauri</cp:lastModifiedBy>
  <dcterms:created xsi:type="dcterms:W3CDTF">2026-04-04T18:10:00Z</dcterms:created>
  <dcterms:modified xsi:type="dcterms:W3CDTF">2026-04-04T18:10:00Z</dcterms:modified>
</cp:coreProperties>
</file>